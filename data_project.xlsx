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rova" sheetId="2" r:id="rId5"/>
  </sheets>
  <definedNames>
    <definedName hidden="1" localSheetId="0" name="_xlnm._FilterDatabase">Sheet1!$A$1:$Q$1009</definedName>
    <definedName hidden="1" localSheetId="1" name="_xlnm._FilterDatabase">Prova!$A$1:$Y$1008</definedName>
  </definedNames>
  <calcPr/>
  <extLst>
    <ext uri="GoogleSheetsCustomDataVersion2">
      <go:sheetsCustomData xmlns:go="http://customooxmlschemas.google.com/" r:id="rId6" roundtripDataChecksum="2Jx8j0y9FMBh1m4zxiMilzvC8KamUFQFflqkLbWygdI="/>
    </ext>
  </extLst>
</workbook>
</file>

<file path=xl/sharedStrings.xml><?xml version="1.0" encoding="utf-8"?>
<sst xmlns="http://schemas.openxmlformats.org/spreadsheetml/2006/main" count="6256" uniqueCount="1629">
  <si>
    <t>Match</t>
  </si>
  <si>
    <t>Day</t>
  </si>
  <si>
    <t>Week Day</t>
  </si>
  <si>
    <t>Date</t>
  </si>
  <si>
    <t>Time</t>
  </si>
  <si>
    <t>Venue</t>
  </si>
  <si>
    <t>Position</t>
  </si>
  <si>
    <t>Team</t>
  </si>
  <si>
    <t>Formation</t>
  </si>
  <si>
    <t>Attendance</t>
  </si>
  <si>
    <t>Result</t>
  </si>
  <si>
    <t>Season</t>
  </si>
  <si>
    <t>Goals_H</t>
  </si>
  <si>
    <t>Goals_A</t>
  </si>
  <si>
    <t>WDL</t>
  </si>
  <si>
    <t>Momentum</t>
  </si>
  <si>
    <t>Pre/Post Covid</t>
  </si>
  <si>
    <t>Group Stage</t>
  </si>
  <si>
    <t>Thu</t>
  </si>
  <si>
    <t>A</t>
  </si>
  <si>
    <t>Newcastle</t>
  </si>
  <si>
    <t>4-2-3-1</t>
  </si>
  <si>
    <t>25/26</t>
  </si>
  <si>
    <t>Wed</t>
  </si>
  <si>
    <t>H</t>
  </si>
  <si>
    <t>PSG</t>
  </si>
  <si>
    <t>Tue</t>
  </si>
  <si>
    <t>Olympiacos</t>
  </si>
  <si>
    <t>Club Brugge</t>
  </si>
  <si>
    <t>Sun</t>
  </si>
  <si>
    <t>(1.)</t>
  </si>
  <si>
    <t>Sevilla FC (9.)</t>
  </si>
  <si>
    <t>Sat</t>
  </si>
  <si>
    <t>(2.)</t>
  </si>
  <si>
    <t>Girona (18.)</t>
  </si>
  <si>
    <t>4-3-3 ofensivo</t>
  </si>
  <si>
    <t>Real Madrid (1.)</t>
  </si>
  <si>
    <t>Elche CF (8.)</t>
  </si>
  <si>
    <t>Celta de Vigo (12.)</t>
  </si>
  <si>
    <t>RCD Mallorca (18.)</t>
  </si>
  <si>
    <t>Levante (15.)</t>
  </si>
  <si>
    <t>Rayo Vallecano (8.)</t>
  </si>
  <si>
    <t>Sun 14/09</t>
  </si>
  <si>
    <t>(4.)</t>
  </si>
  <si>
    <t>Valencia (9.)</t>
  </si>
  <si>
    <t>Sun 21/09</t>
  </si>
  <si>
    <t>Getafe (5.)</t>
  </si>
  <si>
    <t>Thu 25/09</t>
  </si>
  <si>
    <t>Real Oviedo (17.)</t>
  </si>
  <si>
    <t>Sun 28/09</t>
  </si>
  <si>
    <t>Real Sociedad (16.)</t>
  </si>
  <si>
    <t>Sat 17/08/2024</t>
  </si>
  <si>
    <t>Valencia (12.)</t>
  </si>
  <si>
    <t>24/25</t>
  </si>
  <si>
    <t>Sat 24/08/2024</t>
  </si>
  <si>
    <t>Athletic Club (12.)</t>
  </si>
  <si>
    <t>Tue 27/08/2024</t>
  </si>
  <si>
    <t>Sat 31/08/2024</t>
  </si>
  <si>
    <t>Real Valladolid (12.)</t>
  </si>
  <si>
    <t>4-3-3 Attacking</t>
  </si>
  <si>
    <t>Sun 15/09/2024</t>
  </si>
  <si>
    <t>Girona (5.)</t>
  </si>
  <si>
    <t>Sun 22/09/2024</t>
  </si>
  <si>
    <t>Villarreal (4.)</t>
  </si>
  <si>
    <t>Wed 25/09/2024</t>
  </si>
  <si>
    <t>Getafe (18.)</t>
  </si>
  <si>
    <t>Sat 28/09/2024</t>
  </si>
  <si>
    <t>CA Osasuna (6.)</t>
  </si>
  <si>
    <t>Sun 06/10/2024</t>
  </si>
  <si>
    <t>Alavés (11.)</t>
  </si>
  <si>
    <t>Sun 20/10/2024</t>
  </si>
  <si>
    <t>Sevilla FC (12.)</t>
  </si>
  <si>
    <t>Sat 26/10/2024</t>
  </si>
  <si>
    <t>Real Madrid (2.)</t>
  </si>
  <si>
    <t>Sun 03/11/2024</t>
  </si>
  <si>
    <t>Espanyol (16.)</t>
  </si>
  <si>
    <t>Sun 10/11/2024</t>
  </si>
  <si>
    <t>Real Sociedad (11.)</t>
  </si>
  <si>
    <t>Sat 23/11/2024</t>
  </si>
  <si>
    <t>Celta de Vigo (12.)</t>
  </si>
  <si>
    <t>Sat 30/11/2024</t>
  </si>
  <si>
    <t>UD Las Palmas (17.)</t>
  </si>
  <si>
    <t>Sat 07/12/2024</t>
  </si>
  <si>
    <t>Real Betis (10.)</t>
  </si>
  <si>
    <t>Sun 15/12/2024</t>
  </si>
  <si>
    <t>CD Leganés (17.)</t>
  </si>
  <si>
    <t>Sat 21/12/2024</t>
  </si>
  <si>
    <t>(3.)</t>
  </si>
  <si>
    <t>Atlético (2.)</t>
  </si>
  <si>
    <t>Tue 03/12/2024</t>
  </si>
  <si>
    <t>RCD Mallorca (6.)</t>
  </si>
  <si>
    <t>Sat 18/01</t>
  </si>
  <si>
    <t>Getafe (15.)</t>
  </si>
  <si>
    <t>Sun 26/01</t>
  </si>
  <si>
    <t>Valencia (19.)</t>
  </si>
  <si>
    <t>Sun 02/02</t>
  </si>
  <si>
    <t>Alavés (17.)</t>
  </si>
  <si>
    <t>Sun 09/02</t>
  </si>
  <si>
    <t>Mon 17/02</t>
  </si>
  <si>
    <t>Mon</t>
  </si>
  <si>
    <t>Rayo Vallecano (6.)</t>
  </si>
  <si>
    <t>Sat 22/02</t>
  </si>
  <si>
    <t>Sun 02/03</t>
  </si>
  <si>
    <t>Real Sociedad (9.)</t>
  </si>
  <si>
    <t>Thu 27/03</t>
  </si>
  <si>
    <t>CA Osasuna (11.)</t>
  </si>
  <si>
    <t>Sun 16/03</t>
  </si>
  <si>
    <t>Atlético (3.)</t>
  </si>
  <si>
    <t>Sun 30/03</t>
  </si>
  <si>
    <t>Girona (13.)</t>
  </si>
  <si>
    <t>Sat 05/04</t>
  </si>
  <si>
    <t>Real Betis (6.)</t>
  </si>
  <si>
    <t>Sat 12/04</t>
  </si>
  <si>
    <t>CD Leganés (18.)</t>
  </si>
  <si>
    <t>Sat 19/04</t>
  </si>
  <si>
    <t>Celta de Vigo (7.)</t>
  </si>
  <si>
    <t>Tue 22/04</t>
  </si>
  <si>
    <t>RCD Mallorca (7.)</t>
  </si>
  <si>
    <t>Sat 03/05</t>
  </si>
  <si>
    <t>Real Valladolid (20.)</t>
  </si>
  <si>
    <t>Sun 11/05</t>
  </si>
  <si>
    <t>Thu 15/05</t>
  </si>
  <si>
    <t>Espanyol (14.)</t>
  </si>
  <si>
    <t>Sun 18/05</t>
  </si>
  <si>
    <t>Villarreal (5.)</t>
  </si>
  <si>
    <t>Sun 25/05</t>
  </si>
  <si>
    <t>Athletic Club (4.)</t>
  </si>
  <si>
    <t>Thu 19/09/2024</t>
  </si>
  <si>
    <t>Monaco</t>
  </si>
  <si>
    <t>Tue 01/10/2024</t>
  </si>
  <si>
    <t>Young Boys Basel</t>
  </si>
  <si>
    <t>Wed 23/10/2024</t>
  </si>
  <si>
    <t>Bayern Munich</t>
  </si>
  <si>
    <t>Wed 06/11/2024</t>
  </si>
  <si>
    <t>Red Star</t>
  </si>
  <si>
    <t>Tue 26/11/2024</t>
  </si>
  <si>
    <t>Stade Brestois</t>
  </si>
  <si>
    <t>Wed 11/12/2024</t>
  </si>
  <si>
    <t>Dortmund</t>
  </si>
  <si>
    <t>Tue 21/01</t>
  </si>
  <si>
    <t>Benfica</t>
  </si>
  <si>
    <t>Wed 29/01</t>
  </si>
  <si>
    <t>Atalanta</t>
  </si>
  <si>
    <t>last 16 1st leg</t>
  </si>
  <si>
    <t>Wed 05/03</t>
  </si>
  <si>
    <t>last 16 2nd leg</t>
  </si>
  <si>
    <t>Tue 11/03</t>
  </si>
  <si>
    <t>Quarter-Finals 1st leg</t>
  </si>
  <si>
    <t>Wed 09/04</t>
  </si>
  <si>
    <t>Quarter-Finals 2nd leg</t>
  </si>
  <si>
    <t>Tue 15/04</t>
  </si>
  <si>
    <t>Semi-Finals 1st Leg</t>
  </si>
  <si>
    <t>Wed 30/04</t>
  </si>
  <si>
    <t>Inter</t>
  </si>
  <si>
    <t>Semi-Finals 2nd Leg</t>
  </si>
  <si>
    <t>Tue 06/05</t>
  </si>
  <si>
    <t>4:3 AET</t>
  </si>
  <si>
    <t>Third Round</t>
  </si>
  <si>
    <t>Sat 04/01</t>
  </si>
  <si>
    <t>UD Barbastro</t>
  </si>
  <si>
    <t>Round of 16</t>
  </si>
  <si>
    <t>Wed 15/01</t>
  </si>
  <si>
    <t>Real Betis</t>
  </si>
  <si>
    <t>Quarter-Finals</t>
  </si>
  <si>
    <t>Thu 06/02</t>
  </si>
  <si>
    <t>Valencia</t>
  </si>
  <si>
    <t>Tue 25/02</t>
  </si>
  <si>
    <t>Atlético</t>
  </si>
  <si>
    <t>Wed 02/04</t>
  </si>
  <si>
    <t>Final</t>
  </si>
  <si>
    <t>Sat 26/04</t>
  </si>
  <si>
    <t>Real Madrid</t>
  </si>
  <si>
    <t>3:2 AET</t>
  </si>
  <si>
    <t>Sun 13/08/2023</t>
  </si>
  <si>
    <t>Getafe (12.)</t>
  </si>
  <si>
    <t>23/24</t>
  </si>
  <si>
    <t>Sun 20/08/2023</t>
  </si>
  <si>
    <t>(12.)</t>
  </si>
  <si>
    <t>Cádiz CF (7.)</t>
  </si>
  <si>
    <t>3-4-2-1</t>
  </si>
  <si>
    <t>Sun 27/08/2023</t>
  </si>
  <si>
    <t>(6.)</t>
  </si>
  <si>
    <t>Villarreal (11.)</t>
  </si>
  <si>
    <t>Sun 03/09/2023</t>
  </si>
  <si>
    <t>Sat 16/09/2023</t>
  </si>
  <si>
    <t>Real Betis (7.)</t>
  </si>
  <si>
    <t>Sat 23/09/2023</t>
  </si>
  <si>
    <t>Celta de Vigo (16.)</t>
  </si>
  <si>
    <t>Tue 26/09/2023</t>
  </si>
  <si>
    <t>RCD Mallorca (16.)</t>
  </si>
  <si>
    <t>Fri 29/09/2023</t>
  </si>
  <si>
    <t>Fri</t>
  </si>
  <si>
    <t>Sun 08/10/2023</t>
  </si>
  <si>
    <t>Granada CF (19.)</t>
  </si>
  <si>
    <t>Sun 22/10/2023</t>
  </si>
  <si>
    <t>Athletic Club (5.)</t>
  </si>
  <si>
    <t>Sat 28/10/2023</t>
  </si>
  <si>
    <t>Sat 04/11/2023</t>
  </si>
  <si>
    <t>Real Sociedad (5.)</t>
  </si>
  <si>
    <t>Sun 12/11/2023</t>
  </si>
  <si>
    <t>Alavés (14.)</t>
  </si>
  <si>
    <t>Sat 25/11/2023</t>
  </si>
  <si>
    <t>Rayo Vallecano (10.)</t>
  </si>
  <si>
    <t>Sun 03/12/2023</t>
  </si>
  <si>
    <t>Sun 10/12/2023</t>
  </si>
  <si>
    <t>Girona (2.)</t>
  </si>
  <si>
    <t>Sat 16/12/2023</t>
  </si>
  <si>
    <t>Valencia (11.)</t>
  </si>
  <si>
    <t>Wed 20/12/2023</t>
  </si>
  <si>
    <t>UD Almería (20.)</t>
  </si>
  <si>
    <t>Thu 04/01/2024</t>
  </si>
  <si>
    <t>UD Las Palmas (9.)</t>
  </si>
  <si>
    <t>Wed 31/01/2024</t>
  </si>
  <si>
    <t>CA Osasuna (12.)</t>
  </si>
  <si>
    <t>Sun 21/01/2024</t>
  </si>
  <si>
    <t>Sat 27/01/2024</t>
  </si>
  <si>
    <t>Villarreal (15.)</t>
  </si>
  <si>
    <t>Sat 03/02/2024</t>
  </si>
  <si>
    <t>Sun 11/02/2024</t>
  </si>
  <si>
    <t>Sat 17/02/2024</t>
  </si>
  <si>
    <t>Celta de Vigo (17.)</t>
  </si>
  <si>
    <t>Sat 24/02/2024</t>
  </si>
  <si>
    <t>Getafe (10.)</t>
  </si>
  <si>
    <t>Sun 03/03/2024</t>
  </si>
  <si>
    <t>Fri 08/03/2024</t>
  </si>
  <si>
    <t>RCD Mallorca (15.)</t>
  </si>
  <si>
    <t>Sun 17/03/2024</t>
  </si>
  <si>
    <t>Atlético (4.)</t>
  </si>
  <si>
    <t>Sat 30/03/2024</t>
  </si>
  <si>
    <t>UD Las Palmas (11.)</t>
  </si>
  <si>
    <t>Sat 13/04/2024</t>
  </si>
  <si>
    <t>Cádiz CF (18.)</t>
  </si>
  <si>
    <t>Sun 21/04/2024</t>
  </si>
  <si>
    <t>Real Madrid (1.)</t>
  </si>
  <si>
    <t>Mon 29/04/2024</t>
  </si>
  <si>
    <t>Valencia (8.)</t>
  </si>
  <si>
    <t>Sat 04/05/2024</t>
  </si>
  <si>
    <t>Girona (3.)</t>
  </si>
  <si>
    <t>Mon 13/05/2024</t>
  </si>
  <si>
    <t>Real Sociedad (6.)</t>
  </si>
  <si>
    <t>Thu 16/05/2024</t>
  </si>
  <si>
    <t>Sun 19/05/2024</t>
  </si>
  <si>
    <t>Rayo Vallecano (15.)</t>
  </si>
  <si>
    <t>Sun 26/05/2024</t>
  </si>
  <si>
    <t>Sevilla FC (13.)</t>
  </si>
  <si>
    <t>Group H</t>
  </si>
  <si>
    <t>Tue 19/09/2023</t>
  </si>
  <si>
    <t>Royal Antwerp</t>
  </si>
  <si>
    <t>Wed 04/10/2023</t>
  </si>
  <si>
    <t>Porto</t>
  </si>
  <si>
    <t>Wed 25/10/2023</t>
  </si>
  <si>
    <t>Shakhtar D.</t>
  </si>
  <si>
    <t>Tue 07/11/2023</t>
  </si>
  <si>
    <t>Tue 28/11/2023</t>
  </si>
  <si>
    <t>Wed 13/12/2023</t>
  </si>
  <si>
    <t>Wed 21/02/2024</t>
  </si>
  <si>
    <t>Napoli</t>
  </si>
  <si>
    <t>Tue 12/03/2024</t>
  </si>
  <si>
    <t>Wed 10/04/2024</t>
  </si>
  <si>
    <t>Tue 16/04/2024</t>
  </si>
  <si>
    <t>Sun 07/01/2024</t>
  </si>
  <si>
    <t>Thu 18/01/2024</t>
  </si>
  <si>
    <t>Unionistas CF</t>
  </si>
  <si>
    <t>Wed 24/01/2024</t>
  </si>
  <si>
    <t>Athletic Club</t>
  </si>
  <si>
    <t>4:2 AET</t>
  </si>
  <si>
    <t>Sat 13/08/2022</t>
  </si>
  <si>
    <t>Rayo Vallecano (12.)</t>
  </si>
  <si>
    <t>22/23</t>
  </si>
  <si>
    <t>Sun 21/08/2022</t>
  </si>
  <si>
    <t>(10.)</t>
  </si>
  <si>
    <t>Sun 28/08/2022</t>
  </si>
  <si>
    <t>(5.)</t>
  </si>
  <si>
    <t>Real Valladolid (18.)</t>
  </si>
  <si>
    <t>Sat 03/09/2022</t>
  </si>
  <si>
    <t>Sevilla FC (15.)</t>
  </si>
  <si>
    <t>Sat 10/09/2022</t>
  </si>
  <si>
    <t>Cádiz CF (20.)</t>
  </si>
  <si>
    <t>Sat 17/09/2022</t>
  </si>
  <si>
    <t>Elche CF (19.)</t>
  </si>
  <si>
    <t>Sat 01/10/2022</t>
  </si>
  <si>
    <t>RCD Mallorca (10.)</t>
  </si>
  <si>
    <t>Sun 09/10/2022</t>
  </si>
  <si>
    <t>Celta de Vigo (11.)</t>
  </si>
  <si>
    <t>Sun 16/10/2022</t>
  </si>
  <si>
    <t>Thu 20/10/2022</t>
  </si>
  <si>
    <t>Villarreal (7.)</t>
  </si>
  <si>
    <t>Sun 23/10/2022</t>
  </si>
  <si>
    <t>Athletic Club (6.)</t>
  </si>
  <si>
    <t>Sat 29/10/2022</t>
  </si>
  <si>
    <t>Sat 05/11/2022</t>
  </si>
  <si>
    <t>UD Almería (13.)</t>
  </si>
  <si>
    <t>Tue 08/11/2022</t>
  </si>
  <si>
    <t>CA Osasuna (5.)</t>
  </si>
  <si>
    <t>Sat 31/12/2022</t>
  </si>
  <si>
    <t>Sun 08/01/2023</t>
  </si>
  <si>
    <t>Wed 01/02/2023</t>
  </si>
  <si>
    <t>Real Betis (4.)</t>
  </si>
  <si>
    <t>Sun 22/01/2023</t>
  </si>
  <si>
    <t>Sat 28/01/2023</t>
  </si>
  <si>
    <t>Girona (11.)</t>
  </si>
  <si>
    <t>Sun 05/02/2023</t>
  </si>
  <si>
    <t>Sun 12/02/2023</t>
  </si>
  <si>
    <t>Villarreal (6.)</t>
  </si>
  <si>
    <t>Sun 19/02/2023</t>
  </si>
  <si>
    <t>Cádiz CF (16.)</t>
  </si>
  <si>
    <t>Sun 26/02/2023</t>
  </si>
  <si>
    <t>UD Almería (17.)</t>
  </si>
  <si>
    <t>Sun 05/03/2023</t>
  </si>
  <si>
    <t>Valencia (18.)</t>
  </si>
  <si>
    <t>Sun 12/03/2023</t>
  </si>
  <si>
    <t>Athletic Club (9.)</t>
  </si>
  <si>
    <t>Sun 19/03/2023</t>
  </si>
  <si>
    <t>Sat 01/04/2023</t>
  </si>
  <si>
    <t>Elche CF (20.)</t>
  </si>
  <si>
    <t>Mon 10/04/2023</t>
  </si>
  <si>
    <t>Sun 16/04/2023</t>
  </si>
  <si>
    <t>Sun 23/04/2023</t>
  </si>
  <si>
    <t>Wed 26/04/2023</t>
  </si>
  <si>
    <t>Rayo Vallecano (9.)</t>
  </si>
  <si>
    <t>Sat 29/04/2023</t>
  </si>
  <si>
    <t>Tue 02/05/2023</t>
  </si>
  <si>
    <t>CA Osasuna (9.)</t>
  </si>
  <si>
    <t>Sun 14/05/2023</t>
  </si>
  <si>
    <t>Espanyol (19.)</t>
  </si>
  <si>
    <t>Sat 20/05/2023</t>
  </si>
  <si>
    <t>Real Sociedad (4.)</t>
  </si>
  <si>
    <t>Tue 23/05/2023</t>
  </si>
  <si>
    <t>Sun 28/05/2023</t>
  </si>
  <si>
    <t>RCD Mallorca (11.)</t>
  </si>
  <si>
    <t>Sun 04/06/2023</t>
  </si>
  <si>
    <t>Group C</t>
  </si>
  <si>
    <t>Wed 07/09/2022</t>
  </si>
  <si>
    <t>Viktoria Plzeň</t>
  </si>
  <si>
    <t>Tue 13/09/2022</t>
  </si>
  <si>
    <t>Tue 04/10/2022</t>
  </si>
  <si>
    <t>Wed 12/10/2022</t>
  </si>
  <si>
    <t>Wed 26/10/2022</t>
  </si>
  <si>
    <t>Tue 01/11/2022</t>
  </si>
  <si>
    <t>intermediate stage 1st leg</t>
  </si>
  <si>
    <t>Thu 16/02/2023</t>
  </si>
  <si>
    <t>Man Utd</t>
  </si>
  <si>
    <t>intermediate stage 2nd leg</t>
  </si>
  <si>
    <t>Thu 23/02/2023</t>
  </si>
  <si>
    <t>Wed 04/01/2023</t>
  </si>
  <si>
    <t>CF Intercity</t>
  </si>
  <si>
    <t>3:4 AET</t>
  </si>
  <si>
    <t>Thu 19/01/2023</t>
  </si>
  <si>
    <t>AD Ceuta</t>
  </si>
  <si>
    <t>Wed 25/01/2023</t>
  </si>
  <si>
    <t>Real Sociedad</t>
  </si>
  <si>
    <t>Thu 02/03/2023</t>
  </si>
  <si>
    <t>Wed 05/04/2023</t>
  </si>
  <si>
    <t>Sun 15/08/2021</t>
  </si>
  <si>
    <t>21/22</t>
  </si>
  <si>
    <t>Sat 21/08/2021</t>
  </si>
  <si>
    <t>Athletic Club (11.)</t>
  </si>
  <si>
    <t>Sun 29/08/2021</t>
  </si>
  <si>
    <t>Tue 21/12/2021</t>
  </si>
  <si>
    <t>Sevilla FC (2.)</t>
  </si>
  <si>
    <t>Mon 20/09/2021</t>
  </si>
  <si>
    <t>Granada CF (17.)</t>
  </si>
  <si>
    <t>Thu 23/09/2021</t>
  </si>
  <si>
    <t>Cádiz CF (14.)</t>
  </si>
  <si>
    <t>Sun 26/09/2021</t>
  </si>
  <si>
    <t>(8.)</t>
  </si>
  <si>
    <t>Levante (17.)</t>
  </si>
  <si>
    <t>Sat 02/10/2021</t>
  </si>
  <si>
    <t>Sun 17/10/2021</t>
  </si>
  <si>
    <t>Valencia (10.)</t>
  </si>
  <si>
    <t>4-1-4-1</t>
  </si>
  <si>
    <t>Sun 24/10/2021</t>
  </si>
  <si>
    <t>Wed 27/10/2021</t>
  </si>
  <si>
    <t>Rayo Vallecano (7.)</t>
  </si>
  <si>
    <t>Sat 30/10/2021</t>
  </si>
  <si>
    <t>(9.)</t>
  </si>
  <si>
    <t>Sat 06/11/2021</t>
  </si>
  <si>
    <t>Celta de Vigo (15.)</t>
  </si>
  <si>
    <t>Sat 20/11/2021</t>
  </si>
  <si>
    <t>Espanyol (12.)</t>
  </si>
  <si>
    <t>Sat 27/11/2021</t>
  </si>
  <si>
    <t>(7.)</t>
  </si>
  <si>
    <t>Villarreal (10.)</t>
  </si>
  <si>
    <t>Sat 04/12/2021</t>
  </si>
  <si>
    <t>Real Betis (5.)</t>
  </si>
  <si>
    <t>Sun 12/12/2021</t>
  </si>
  <si>
    <t>CA Osasuna (10.)</t>
  </si>
  <si>
    <t>Sat 18/12/2021</t>
  </si>
  <si>
    <t>Elche CF (17.)</t>
  </si>
  <si>
    <t>Sun 02/01/2022</t>
  </si>
  <si>
    <t>Sat 08/01/2022</t>
  </si>
  <si>
    <t>Granada CF (13.)</t>
  </si>
  <si>
    <t>Sun 24/04/2022</t>
  </si>
  <si>
    <t>Sun 23/01/2022</t>
  </si>
  <si>
    <t>Alavés (18.)</t>
  </si>
  <si>
    <t>Sun 06/02/2022</t>
  </si>
  <si>
    <t>Atlético (5.)</t>
  </si>
  <si>
    <t>Sun 13/02/2022</t>
  </si>
  <si>
    <t>Espanyol (13.)</t>
  </si>
  <si>
    <t>Sun 20/02/2022</t>
  </si>
  <si>
    <t>Sun 27/02/2022</t>
  </si>
  <si>
    <t>Athletic Club (8.)</t>
  </si>
  <si>
    <t>Sun 06/03/2022</t>
  </si>
  <si>
    <t>Elche CF (13.)</t>
  </si>
  <si>
    <t>Sun 13/03/2022</t>
  </si>
  <si>
    <t>Sun 20/03/2022</t>
  </si>
  <si>
    <t>Sun 03/04/2022</t>
  </si>
  <si>
    <t>Sun 10/04/2022</t>
  </si>
  <si>
    <t>Levante (20.)</t>
  </si>
  <si>
    <t>Mon 18/04/2022</t>
  </si>
  <si>
    <t>Thu 21/04/2022</t>
  </si>
  <si>
    <t>Sun 01/05/2022</t>
  </si>
  <si>
    <t>Sat 07/05/2022</t>
  </si>
  <si>
    <t>Tue 10/05/2022</t>
  </si>
  <si>
    <t>Sun 15/05/2022</t>
  </si>
  <si>
    <t>Sun 22/05/2022</t>
  </si>
  <si>
    <t>Group E</t>
  </si>
  <si>
    <t>Tue 14/09/2021</t>
  </si>
  <si>
    <t>3-5-2 flat</t>
  </si>
  <si>
    <t>Wed 29/09/2021</t>
  </si>
  <si>
    <t>Wed 20/10/2021</t>
  </si>
  <si>
    <t>Dynamo Kyiv</t>
  </si>
  <si>
    <t>Tue 02/11/2021</t>
  </si>
  <si>
    <t>Tue 23/11/2021</t>
  </si>
  <si>
    <t>Wed 08/12/2021</t>
  </si>
  <si>
    <t>Thu 17/02/2022</t>
  </si>
  <si>
    <t>Thu 24/02/2022</t>
  </si>
  <si>
    <t>Thu 10/03/2022</t>
  </si>
  <si>
    <t>Galatasaray</t>
  </si>
  <si>
    <t>Thu 17/03/2022</t>
  </si>
  <si>
    <t>Thu 07/04/2022</t>
  </si>
  <si>
    <t>Frankfurt</t>
  </si>
  <si>
    <t>Thu 14/04/2022</t>
  </si>
  <si>
    <t>Wed 05/01/2022</t>
  </si>
  <si>
    <t>Linares</t>
  </si>
  <si>
    <t>Thu 20/01/2022</t>
  </si>
  <si>
    <t>Fri 16/08/2019</t>
  </si>
  <si>
    <t>19/20</t>
  </si>
  <si>
    <t>Sun 25/08/2019</t>
  </si>
  <si>
    <t>(15.)</t>
  </si>
  <si>
    <t>Real Betis (14.)</t>
  </si>
  <si>
    <t>Sat 31/08/2019</t>
  </si>
  <si>
    <t>CA Osasuna (8.)</t>
  </si>
  <si>
    <t>Sat 14/09/2019</t>
  </si>
  <si>
    <t>(11.)</t>
  </si>
  <si>
    <t>Sat 21/09/2019</t>
  </si>
  <si>
    <t>Granada CF (6.)</t>
  </si>
  <si>
    <t>Tue 24/09/2019</t>
  </si>
  <si>
    <t>Sat 28/09/2019</t>
  </si>
  <si>
    <t>Sun 06/10/2019</t>
  </si>
  <si>
    <t>Sevilla FC (4.)</t>
  </si>
  <si>
    <t>Sat 19/10/2019</t>
  </si>
  <si>
    <t>SD Eibar (14.)</t>
  </si>
  <si>
    <t>Wed 18/12/2019</t>
  </si>
  <si>
    <t>Tue 29/10/2019</t>
  </si>
  <si>
    <t>Real Valladolid (8.)</t>
  </si>
  <si>
    <t>Sat 02/11/2019</t>
  </si>
  <si>
    <t>Levante (11.)</t>
  </si>
  <si>
    <t>Sat 09/11/2019</t>
  </si>
  <si>
    <t>Celta de Vigo (18.)</t>
  </si>
  <si>
    <t>Sat 23/11/2019</t>
  </si>
  <si>
    <t>CD Leganés (20.)</t>
  </si>
  <si>
    <t>Sun 01/12/2019</t>
  </si>
  <si>
    <t>Sat 07/12/2019</t>
  </si>
  <si>
    <t>RCD Mallorca (17.)</t>
  </si>
  <si>
    <t>Sat 14/12/2019</t>
  </si>
  <si>
    <t>Sat 21/12/2019</t>
  </si>
  <si>
    <t>Sat 04/01/2020</t>
  </si>
  <si>
    <t>Espanyol (20.)</t>
  </si>
  <si>
    <t>Sun 19/01/2020</t>
  </si>
  <si>
    <t>Granada CF (10.)</t>
  </si>
  <si>
    <t>Sat 25/01/2020</t>
  </si>
  <si>
    <t>Valencia (7.)</t>
  </si>
  <si>
    <t>Sun 02/02/2020</t>
  </si>
  <si>
    <t>Levante (13.)</t>
  </si>
  <si>
    <t>Sun 09/02/2020</t>
  </si>
  <si>
    <t>Real Betis (12.)</t>
  </si>
  <si>
    <t>4-3-1-2</t>
  </si>
  <si>
    <t>Sat 15/02/2020</t>
  </si>
  <si>
    <t>Getafe (3.)</t>
  </si>
  <si>
    <t>Sat 22/02/2020</t>
  </si>
  <si>
    <t>SD Eibar (16.)</t>
  </si>
  <si>
    <t>Sun 01/03/2020</t>
  </si>
  <si>
    <t>4-4-2 double 6</t>
  </si>
  <si>
    <t>Sat 07/03/2020</t>
  </si>
  <si>
    <t>Group F</t>
  </si>
  <si>
    <t>Tue 17/09/2019</t>
  </si>
  <si>
    <t>Wed 02/10/2019</t>
  </si>
  <si>
    <t>Wed 23/10/2019</t>
  </si>
  <si>
    <t>Slavia Praha</t>
  </si>
  <si>
    <t>Tue 05/11/2019</t>
  </si>
  <si>
    <t>Wed 27/11/2019</t>
  </si>
  <si>
    <t>Tue 10/12/2019</t>
  </si>
  <si>
    <t>Tue 25/02/2020</t>
  </si>
  <si>
    <t>Wed 22/01/2020</t>
  </si>
  <si>
    <t>UD Ibiza</t>
  </si>
  <si>
    <t>Thu 30/01/2020</t>
  </si>
  <si>
    <t>CD Leganés</t>
  </si>
  <si>
    <t>Thu 06/02/2020</t>
  </si>
  <si>
    <t>Sat 18/08/2018</t>
  </si>
  <si>
    <t>18/19</t>
  </si>
  <si>
    <t>Sat 25/08/2018</t>
  </si>
  <si>
    <t>Real Valladolid (13.)</t>
  </si>
  <si>
    <t>Sun 02/09/2018</t>
  </si>
  <si>
    <t>SD Huesca (5.)</t>
  </si>
  <si>
    <t>Sat 15/09/2018</t>
  </si>
  <si>
    <t>Real Sociedad (10.)</t>
  </si>
  <si>
    <t>Sun 23/09/2018</t>
  </si>
  <si>
    <t>Wed 26/09/2018</t>
  </si>
  <si>
    <t>Sat 29/09/2018</t>
  </si>
  <si>
    <t>Athletic Club (13.)</t>
  </si>
  <si>
    <t>Sun 07/10/2018</t>
  </si>
  <si>
    <t>Valencia (13.)</t>
  </si>
  <si>
    <t>Sat 20/10/2018</t>
  </si>
  <si>
    <t>Sevilla FC (1.)</t>
  </si>
  <si>
    <t>Sun 28/10/2018</t>
  </si>
  <si>
    <t>Real Madrid (7.)</t>
  </si>
  <si>
    <t>Sat 03/11/2018</t>
  </si>
  <si>
    <t>Rayo Vallecano (19.)</t>
  </si>
  <si>
    <t>Sun 11/11/2018</t>
  </si>
  <si>
    <t>Sat 24/11/2018</t>
  </si>
  <si>
    <t>Sun 02/12/2018</t>
  </si>
  <si>
    <t>Villarreal (16.)</t>
  </si>
  <si>
    <t>Sat 08/12/2018</t>
  </si>
  <si>
    <t>Espanyol (7.)</t>
  </si>
  <si>
    <t>Sun 16/12/2018</t>
  </si>
  <si>
    <t>Levante (6.)</t>
  </si>
  <si>
    <t>Sat 22/12/2018</t>
  </si>
  <si>
    <t>Celta de Vigo (10.)</t>
  </si>
  <si>
    <t>Sun 06/01/2019</t>
  </si>
  <si>
    <t>Getafe (7.)</t>
  </si>
  <si>
    <t>Sun 13/01/2019</t>
  </si>
  <si>
    <t>SD Eibar (12.)</t>
  </si>
  <si>
    <t>Sun 20/01/2019</t>
  </si>
  <si>
    <t>CD Leganés (15.)</t>
  </si>
  <si>
    <t>Sun 27/01/2019</t>
  </si>
  <si>
    <t>Girona (12.)</t>
  </si>
  <si>
    <t>Sat 02/02/2019</t>
  </si>
  <si>
    <t>Sun 10/02/2019</t>
  </si>
  <si>
    <t>Sat 16/02/2019</t>
  </si>
  <si>
    <t>Real Valladolid (15.)</t>
  </si>
  <si>
    <t>Sat 23/02/2019</t>
  </si>
  <si>
    <t>Sat 02/03/2019</t>
  </si>
  <si>
    <t>Real Madrid (3.)</t>
  </si>
  <si>
    <t>Sat 09/03/2019</t>
  </si>
  <si>
    <t>Sun 17/03/2019</t>
  </si>
  <si>
    <t>Real Betis (8.)</t>
  </si>
  <si>
    <t>Sat 30/03/2019</t>
  </si>
  <si>
    <t>Tue 02/04/2019</t>
  </si>
  <si>
    <t>Villarreal (17.)</t>
  </si>
  <si>
    <t>Sat 06/04/2019</t>
  </si>
  <si>
    <t>Sat 13/04/2019</t>
  </si>
  <si>
    <t>SD Huesca (20.)</t>
  </si>
  <si>
    <t>Sat 20/04/2019</t>
  </si>
  <si>
    <t>Tue 23/04/2019</t>
  </si>
  <si>
    <t>Alavés (8.)</t>
  </si>
  <si>
    <t>Sat 27/04/2019</t>
  </si>
  <si>
    <t>Sat 04/05/2019</t>
  </si>
  <si>
    <t>Sun 12/05/2019</t>
  </si>
  <si>
    <t>Getafe (4.)</t>
  </si>
  <si>
    <t>Sun 19/05/2019</t>
  </si>
  <si>
    <t>Group B</t>
  </si>
  <si>
    <t>Tue 18/09/2018</t>
  </si>
  <si>
    <t>PSV</t>
  </si>
  <si>
    <t>Wed 03/10/2018</t>
  </si>
  <si>
    <t>Tottenham</t>
  </si>
  <si>
    <t>Wed 24/10/2018</t>
  </si>
  <si>
    <t>Tue 06/11/2018</t>
  </si>
  <si>
    <t>Wed 28/11/2018</t>
  </si>
  <si>
    <t>Tue 11/12/2018</t>
  </si>
  <si>
    <t>Tue 19/02/2019</t>
  </si>
  <si>
    <t>Lyon</t>
  </si>
  <si>
    <t>Wed 13/03/2019</t>
  </si>
  <si>
    <t>Wed 10/04/2019</t>
  </si>
  <si>
    <t>Tue 16/04/2019</t>
  </si>
  <si>
    <t>Wed 01/05/2019</t>
  </si>
  <si>
    <t>Liverpool</t>
  </si>
  <si>
    <t>Tue 07/05/2019</t>
  </si>
  <si>
    <t>Wed 31/10/2018</t>
  </si>
  <si>
    <t>CyD Leonesa</t>
  </si>
  <si>
    <t>Wed 05/12/2018</t>
  </si>
  <si>
    <t>Thu 10/01/2019</t>
  </si>
  <si>
    <t>Levante</t>
  </si>
  <si>
    <t>Thu 17/01/2019</t>
  </si>
  <si>
    <t>Wed 23/01/2019</t>
  </si>
  <si>
    <t>Sevilla FC</t>
  </si>
  <si>
    <t>Wed 30/01/2019</t>
  </si>
  <si>
    <t>Wed 06/02/2019</t>
  </si>
  <si>
    <t>Wed 27/02/2019</t>
  </si>
  <si>
    <t>Sat 25/05/2019</t>
  </si>
  <si>
    <t>Sun 20/08/2017</t>
  </si>
  <si>
    <t>17/18</t>
  </si>
  <si>
    <t>Sat 26/08/2017</t>
  </si>
  <si>
    <t>Alavés (16.)</t>
  </si>
  <si>
    <t>Sat 09/09/2017</t>
  </si>
  <si>
    <t>Sat 16/09/2017</t>
  </si>
  <si>
    <t>Tue 19/09/2017</t>
  </si>
  <si>
    <t>SD Eibar (10.)</t>
  </si>
  <si>
    <t>Sat 23/09/2017</t>
  </si>
  <si>
    <t>Girona (15.)</t>
  </si>
  <si>
    <t>Sun 01/10/2017</t>
  </si>
  <si>
    <t>UD Las Palmas (15.)</t>
  </si>
  <si>
    <t>Sat 14/10/2017</t>
  </si>
  <si>
    <t>Sat 21/10/2017</t>
  </si>
  <si>
    <t>Málaga CF (20.)</t>
  </si>
  <si>
    <t>Sat 28/10/2017</t>
  </si>
  <si>
    <t>Sat 04/11/2017</t>
  </si>
  <si>
    <t>Sevilla FC (5.)</t>
  </si>
  <si>
    <t>Sat 18/11/2017</t>
  </si>
  <si>
    <t>CD Leganés (9.)</t>
  </si>
  <si>
    <t>Sun 26/11/2017</t>
  </si>
  <si>
    <t>Valencia (2.)</t>
  </si>
  <si>
    <t>Sat 02/12/2017</t>
  </si>
  <si>
    <t>Celta de Vigo (9.)</t>
  </si>
  <si>
    <t>4-4-2 Diamond</t>
  </si>
  <si>
    <t>Sun 10/12/2017</t>
  </si>
  <si>
    <t>Sun 17/12/2017</t>
  </si>
  <si>
    <t>Dep. La Coruña (17.)</t>
  </si>
  <si>
    <t>Sat 23/12/2017</t>
  </si>
  <si>
    <t>Sun 07/01/2018</t>
  </si>
  <si>
    <t>Levante (16.)</t>
  </si>
  <si>
    <t>Sun 14/01/2018</t>
  </si>
  <si>
    <t>Real Sociedad (14.)</t>
  </si>
  <si>
    <t>Sun 21/01/2018</t>
  </si>
  <si>
    <t>Sun 28/01/2018</t>
  </si>
  <si>
    <t>Sun 04/02/2018</t>
  </si>
  <si>
    <t>Sun 11/02/2018</t>
  </si>
  <si>
    <t>Getafe (11.)</t>
  </si>
  <si>
    <t>Sat 17/02/2018</t>
  </si>
  <si>
    <t>SD Eibar (7.)</t>
  </si>
  <si>
    <t>Sat 24/02/2018</t>
  </si>
  <si>
    <t>Girona (8.)</t>
  </si>
  <si>
    <t>Thu 01/03/2018</t>
  </si>
  <si>
    <t>UD Las Palmas (18.)</t>
  </si>
  <si>
    <t>Sun 04/03/2018</t>
  </si>
  <si>
    <t>Sat 10/03/2018</t>
  </si>
  <si>
    <t>Sun 18/03/2018</t>
  </si>
  <si>
    <t>Sat 31/03/2018</t>
  </si>
  <si>
    <t>Sevilla FC (6.)</t>
  </si>
  <si>
    <t>Sat 07/04/2018</t>
  </si>
  <si>
    <t>CD Leganés (12.)</t>
  </si>
  <si>
    <t>Sat 14/04/2018</t>
  </si>
  <si>
    <t>Valencia (3.)</t>
  </si>
  <si>
    <t>Tue 17/04/2018</t>
  </si>
  <si>
    <t>Wed 09/05/2018</t>
  </si>
  <si>
    <t>Sun 29/04/2018</t>
  </si>
  <si>
    <t>Dep. La Coruña (18.)</t>
  </si>
  <si>
    <t>Sun 06/05/2018</t>
  </si>
  <si>
    <t>Sun 13/05/2018</t>
  </si>
  <si>
    <t>Levante (14.)</t>
  </si>
  <si>
    <t>Sun 20/05/2018</t>
  </si>
  <si>
    <t>Group D</t>
  </si>
  <si>
    <t>Tue 12/09/2017</t>
  </si>
  <si>
    <t>Juventus</t>
  </si>
  <si>
    <t>Wed 27/09/2017</t>
  </si>
  <si>
    <t>Sporting</t>
  </si>
  <si>
    <t>Wed 18/10/2017</t>
  </si>
  <si>
    <t>Tue 31/10/2017</t>
  </si>
  <si>
    <t>Wed 22/11/2017</t>
  </si>
  <si>
    <t>Tue 05/12/2017</t>
  </si>
  <si>
    <t>Tue 20/02/2018</t>
  </si>
  <si>
    <t>Chelsea</t>
  </si>
  <si>
    <t>Wed 14/03/2018</t>
  </si>
  <si>
    <t>Wed 04/04/2018</t>
  </si>
  <si>
    <t>Roma</t>
  </si>
  <si>
    <t>Tue 10/04/2018</t>
  </si>
  <si>
    <t>Tue 24/10/2017</t>
  </si>
  <si>
    <t>Real Murcia</t>
  </si>
  <si>
    <t>Wed 29/11/2017</t>
  </si>
  <si>
    <t>Thu 04/01/2018</t>
  </si>
  <si>
    <t>Celta de Vigo</t>
  </si>
  <si>
    <t>Thu 11/01/2018</t>
  </si>
  <si>
    <t>Wed 17/01/2018</t>
  </si>
  <si>
    <t>Espanyol</t>
  </si>
  <si>
    <t>Thu 25/01/2018</t>
  </si>
  <si>
    <t>Thu 01/02/2018</t>
  </si>
  <si>
    <t>Thu 08/02/2018</t>
  </si>
  <si>
    <t>Sat 21/04/2018</t>
  </si>
  <si>
    <t>Sat 20/08/2016</t>
  </si>
  <si>
    <t>20/08/2016</t>
  </si>
  <si>
    <r>
      <rPr>
        <rFont val="Arial"/>
        <b/>
        <color rgb="FF1155CC"/>
        <sz val="9.0"/>
        <u/>
      </rPr>
      <t>Real Betis</t>
    </r>
    <r>
      <rPr>
        <rFont val="&quot;Source Sans Pro&quot;, &quot;Source Sans Pro-fallback&quot;, sans-serif"/>
        <b/>
        <sz val="9.0"/>
      </rPr>
      <t xml:space="preserve"> (15.)</t>
    </r>
  </si>
  <si>
    <r>
      <rPr>
        <rFont val="&quot;Source Sans Pro&quot;, &quot;Source Sans Pro-fallback&quot;, sans-serif"/>
        <b/>
        <color rgb="FF1155CC"/>
        <sz val="9.0"/>
        <u/>
      </rPr>
      <t>6:2</t>
    </r>
  </si>
  <si>
    <t>16/17</t>
  </si>
  <si>
    <t>Sun 28/08/2016</t>
  </si>
  <si>
    <t>28/08/2016</t>
  </si>
  <si>
    <r>
      <rPr>
        <rFont val="&quot;Source Sans Pro&quot;, &quot;Source Sans Pro-fallback&quot;, sans-serif"/>
        <b/>
        <color rgb="FF1155CC"/>
        <sz val="9.0"/>
        <u/>
      </rPr>
      <t>Athletic Club</t>
    </r>
    <r>
      <rPr>
        <rFont val="&quot;Source Sans Pro&quot;, &quot;Source Sans Pro-fallback&quot;, sans-serif"/>
        <b/>
        <sz val="9.0"/>
      </rPr>
      <t xml:space="preserve"> (14.)</t>
    </r>
  </si>
  <si>
    <r>
      <rPr>
        <rFont val="&quot;Source Sans Pro&quot;, &quot;Source Sans Pro-fallback&quot;, sans-serif"/>
        <b/>
        <color rgb="FF1155CC"/>
        <sz val="9.0"/>
        <u/>
      </rPr>
      <t>0:1</t>
    </r>
  </si>
  <si>
    <t>Sat 10/09/2016</t>
  </si>
  <si>
    <t>10/09/2016</t>
  </si>
  <si>
    <r>
      <rPr>
        <rFont val="&quot;Source Sans Pro&quot;, &quot;Source Sans Pro-fallback&quot;, sans-serif"/>
        <b/>
        <color rgb="FF1155CC"/>
        <sz val="9.0"/>
        <u/>
      </rPr>
      <t>Alavés</t>
    </r>
    <r>
      <rPr>
        <rFont val="&quot;Source Sans Pro&quot;, &quot;Source Sans Pro-fallback&quot;, sans-serif"/>
        <b/>
        <sz val="9.0"/>
      </rPr>
      <t xml:space="preserve"> (11.)</t>
    </r>
  </si>
  <si>
    <r>
      <rPr>
        <rFont val="&quot;Source Sans Pro&quot;, &quot;Source Sans Pro-fallback&quot;, sans-serif"/>
        <b/>
        <color rgb="FF1155CC"/>
        <sz val="9.0"/>
        <u/>
      </rPr>
      <t>1:2</t>
    </r>
  </si>
  <si>
    <t>Sat 17/09/2016</t>
  </si>
  <si>
    <t>17/09/2016</t>
  </si>
  <si>
    <r>
      <rPr>
        <rFont val="&quot;Source Sans Pro&quot;, &quot;Source Sans Pro-fallback&quot;, sans-serif"/>
        <b/>
        <color rgb="FF1155CC"/>
        <sz val="9.0"/>
        <u/>
      </rPr>
      <t>CD Leganés</t>
    </r>
    <r>
      <rPr>
        <rFont val="&quot;Source Sans Pro&quot;, &quot;Source Sans Pro-fallback&quot;, sans-serif"/>
        <b/>
        <sz val="9.0"/>
      </rPr>
      <t xml:space="preserve"> (12.)</t>
    </r>
  </si>
  <si>
    <r>
      <rPr>
        <rFont val="&quot;Source Sans Pro&quot;, &quot;Source Sans Pro-fallback&quot;, sans-serif"/>
        <b/>
        <color rgb="FF1155CC"/>
        <sz val="9.0"/>
        <u/>
      </rPr>
      <t>1:5</t>
    </r>
  </si>
  <si>
    <t>Wed 21/09/2016</t>
  </si>
  <si>
    <t>21/09/2016</t>
  </si>
  <si>
    <r>
      <rPr>
        <rFont val="&quot;Source Sans Pro&quot;, &quot;Source Sans Pro-fallback&quot;, sans-serif"/>
        <b/>
        <color rgb="FF1155CC"/>
        <sz val="9.0"/>
        <u/>
      </rPr>
      <t>Atlético</t>
    </r>
    <r>
      <rPr>
        <rFont val="&quot;Source Sans Pro&quot;, &quot;Source Sans Pro-fallback&quot;, sans-serif"/>
        <b/>
        <sz val="9.0"/>
      </rPr>
      <t xml:space="preserve"> (6.)</t>
    </r>
  </si>
  <si>
    <r>
      <rPr>
        <rFont val="&quot;Source Sans Pro&quot;, &quot;Source Sans Pro-fallback&quot;, sans-serif"/>
        <b/>
        <color rgb="FF1155CC"/>
        <sz val="9.0"/>
        <u/>
      </rPr>
      <t>1:1</t>
    </r>
  </si>
  <si>
    <t>Sat 24/09/2016</t>
  </si>
  <si>
    <t>24/09/2016</t>
  </si>
  <si>
    <r>
      <rPr>
        <rFont val="&quot;Source Sans Pro&quot;, &quot;Source Sans Pro-fallback&quot;, sans-serif"/>
        <b/>
        <color rgb="FF1155CC"/>
        <sz val="9.0"/>
        <u/>
      </rPr>
      <t>Sporting Gijón</t>
    </r>
    <r>
      <rPr>
        <rFont val="&quot;Source Sans Pro&quot;, &quot;Source Sans Pro-fallback&quot;, sans-serif"/>
        <b/>
        <sz val="9.0"/>
      </rPr>
      <t xml:space="preserve"> (8.)</t>
    </r>
  </si>
  <si>
    <r>
      <rPr>
        <rFont val="&quot;Source Sans Pro&quot;, &quot;Source Sans Pro-fallback&quot;, sans-serif"/>
        <b/>
        <color rgb="FF1155CC"/>
        <sz val="9.0"/>
        <u/>
      </rPr>
      <t>0:5</t>
    </r>
  </si>
  <si>
    <t>Sun 02/10/2016</t>
  </si>
  <si>
    <t>02/10/2016</t>
  </si>
  <si>
    <r>
      <rPr>
        <rFont val="&quot;Source Sans Pro&quot;, &quot;Source Sans Pro-fallback&quot;, sans-serif"/>
        <b/>
        <color rgb="FF1155CC"/>
        <sz val="9.0"/>
        <u/>
      </rPr>
      <t>Celta de Vigo</t>
    </r>
    <r>
      <rPr>
        <rFont val="&quot;Source Sans Pro&quot;, &quot;Source Sans Pro-fallback&quot;, sans-serif"/>
        <b/>
        <sz val="9.0"/>
      </rPr>
      <t xml:space="preserve"> (11.)</t>
    </r>
  </si>
  <si>
    <r>
      <rPr>
        <rFont val="&quot;Source Sans Pro&quot;, &quot;Source Sans Pro-fallback&quot;, sans-serif"/>
        <b/>
        <color rgb="FF1155CC"/>
        <sz val="9.0"/>
        <u/>
      </rPr>
      <t>4:3</t>
    </r>
  </si>
  <si>
    <t>Sat 15/10/2016</t>
  </si>
  <si>
    <t>15/10/2016</t>
  </si>
  <si>
    <r>
      <rPr>
        <rFont val="&quot;Source Sans Pro&quot;, &quot;Source Sans Pro-fallback&quot;, sans-serif"/>
        <b/>
        <color rgb="FF1155CC"/>
        <sz val="9.0"/>
        <u/>
      </rPr>
      <t>Dep. La Coruña</t>
    </r>
    <r>
      <rPr>
        <rFont val="&quot;Source Sans Pro&quot;, &quot;Source Sans Pro-fallback&quot;, sans-serif"/>
        <b/>
        <sz val="9.0"/>
      </rPr>
      <t xml:space="preserve"> (14.)</t>
    </r>
  </si>
  <si>
    <r>
      <rPr>
        <rFont val="&quot;Source Sans Pro&quot;, &quot;Source Sans Pro-fallback&quot;, sans-serif"/>
        <b/>
        <color rgb="FF1155CC"/>
        <sz val="9.0"/>
        <u/>
      </rPr>
      <t>4:0</t>
    </r>
  </si>
  <si>
    <t>Sat 22/10/2016</t>
  </si>
  <si>
    <t>22/10/2016</t>
  </si>
  <si>
    <r>
      <rPr>
        <rFont val="&quot;Source Sans Pro&quot;, &quot;Source Sans Pro-fallback&quot;, sans-serif"/>
        <b/>
        <color rgb="FF1155CC"/>
        <sz val="9.0"/>
        <u/>
      </rPr>
      <t>Valencia</t>
    </r>
    <r>
      <rPr>
        <rFont val="&quot;Source Sans Pro&quot;, &quot;Source Sans Pro-fallback&quot;, sans-serif"/>
        <b/>
        <sz val="9.0"/>
      </rPr>
      <t xml:space="preserve"> (14.)</t>
    </r>
  </si>
  <si>
    <r>
      <rPr>
        <rFont val="&quot;Source Sans Pro&quot;, &quot;Source Sans Pro-fallback&quot;, sans-serif"/>
        <b/>
        <color rgb="FF1155CC"/>
        <sz val="9.0"/>
        <u/>
      </rPr>
      <t>2:3</t>
    </r>
  </si>
  <si>
    <t>Sat 29/10/2016</t>
  </si>
  <si>
    <t>29/10/2016</t>
  </si>
  <si>
    <r>
      <rPr>
        <rFont val="&quot;Source Sans Pro&quot;, &quot;Source Sans Pro-fallback&quot;, sans-serif"/>
        <b/>
        <color rgb="FF1155CC"/>
        <sz val="9.0"/>
        <u/>
      </rPr>
      <t>Granada CF</t>
    </r>
    <r>
      <rPr>
        <rFont val="&quot;Source Sans Pro&quot;, &quot;Source Sans Pro-fallback&quot;, sans-serif"/>
        <b/>
        <sz val="9.0"/>
      </rPr>
      <t xml:space="preserve"> (20.)</t>
    </r>
  </si>
  <si>
    <r>
      <rPr>
        <rFont val="&quot;Source Sans Pro&quot;, &quot;Source Sans Pro-fallback&quot;, sans-serif"/>
        <b/>
        <color rgb="FF1155CC"/>
        <sz val="9.0"/>
        <u/>
      </rPr>
      <t>1:0</t>
    </r>
  </si>
  <si>
    <t>Sun 06/11/2016</t>
  </si>
  <si>
    <t>06/11/2016</t>
  </si>
  <si>
    <r>
      <rPr>
        <rFont val="&quot;Source Sans Pro&quot;, &quot;Source Sans Pro-fallback&quot;, sans-serif"/>
        <b/>
        <color rgb="FF1155CC"/>
        <sz val="9.0"/>
        <u/>
      </rPr>
      <t>Sevilla FC</t>
    </r>
    <r>
      <rPr>
        <rFont val="&quot;Source Sans Pro&quot;, &quot;Source Sans Pro-fallback&quot;, sans-serif"/>
        <b/>
        <sz val="9.0"/>
      </rPr>
      <t xml:space="preserve"> (3.)</t>
    </r>
  </si>
  <si>
    <r>
      <rPr>
        <rFont val="&quot;Source Sans Pro&quot;, &quot;Source Sans Pro-fallback&quot;, sans-serif"/>
        <b/>
        <color rgb="FF1155CC"/>
        <sz val="9.0"/>
        <u/>
      </rPr>
      <t>1:2</t>
    </r>
  </si>
  <si>
    <t>Sat 19/11/2016</t>
  </si>
  <si>
    <t>19/11/2016</t>
  </si>
  <si>
    <r>
      <rPr>
        <rFont val="&quot;Source Sans Pro&quot;, &quot;Source Sans Pro-fallback&quot;, sans-serif"/>
        <b/>
        <color rgb="FF1155CC"/>
        <sz val="9.0"/>
        <u/>
      </rPr>
      <t>Málaga CF</t>
    </r>
    <r>
      <rPr>
        <rFont val="&quot;Source Sans Pro&quot;, &quot;Source Sans Pro-fallback&quot;, sans-serif"/>
        <b/>
        <sz val="9.0"/>
      </rPr>
      <t xml:space="preserve"> (10.)</t>
    </r>
  </si>
  <si>
    <r>
      <rPr>
        <rFont val="&quot;Source Sans Pro&quot;, &quot;Source Sans Pro-fallback&quot;, sans-serif"/>
        <b/>
        <color rgb="FF1155CC"/>
        <sz val="9.0"/>
        <u/>
      </rPr>
      <t>0:0</t>
    </r>
  </si>
  <si>
    <t>Sun 27/11/2016</t>
  </si>
  <si>
    <t>27/11/2016</t>
  </si>
  <si>
    <r>
      <rPr>
        <rFont val="&quot;Source Sans Pro&quot;, &quot;Source Sans Pro-fallback&quot;, sans-serif"/>
        <b/>
        <color rgb="FF1155CC"/>
        <sz val="9.0"/>
        <u/>
      </rPr>
      <t>Real Sociedad</t>
    </r>
    <r>
      <rPr>
        <rFont val="&quot;Source Sans Pro&quot;, &quot;Source Sans Pro-fallback&quot;, sans-serif"/>
        <b/>
        <sz val="9.0"/>
      </rPr>
      <t xml:space="preserve"> (5.)</t>
    </r>
  </si>
  <si>
    <r>
      <rPr>
        <rFont val="&quot;Source Sans Pro&quot;, &quot;Source Sans Pro-fallback&quot;, sans-serif"/>
        <b/>
        <color rgb="FF1155CC"/>
        <sz val="9.0"/>
        <u/>
      </rPr>
      <t>1:1</t>
    </r>
  </si>
  <si>
    <t>Sat 03/12/2016</t>
  </si>
  <si>
    <t>03/12/2016</t>
  </si>
  <si>
    <r>
      <rPr>
        <rFont val="&quot;Source Sans Pro&quot;, &quot;Source Sans Pro-fallback&quot;, sans-serif"/>
        <b/>
        <color rgb="FF1155CC"/>
        <sz val="9.0"/>
        <u/>
      </rPr>
      <t>Real Madrid</t>
    </r>
    <r>
      <rPr>
        <rFont val="&quot;Source Sans Pro&quot;, &quot;Source Sans Pro-fallback&quot;, sans-serif"/>
        <b/>
        <sz val="9.0"/>
      </rPr>
      <t xml:space="preserve"> (1.)</t>
    </r>
  </si>
  <si>
    <r>
      <rPr>
        <rFont val="&quot;Source Sans Pro&quot;, &quot;Source Sans Pro-fallback&quot;, sans-serif"/>
        <b/>
        <color rgb="FF1155CC"/>
        <sz val="9.0"/>
        <u/>
      </rPr>
      <t>1:1</t>
    </r>
  </si>
  <si>
    <t>Sat 10/12/2016</t>
  </si>
  <si>
    <t>10/12/2016</t>
  </si>
  <si>
    <r>
      <rPr>
        <rFont val="&quot;Source Sans Pro&quot;, &quot;Source Sans Pro-fallback&quot;, sans-serif"/>
        <b/>
        <color rgb="FF1155CC"/>
        <sz val="9.0"/>
        <u/>
      </rPr>
      <t>CA Osasuna</t>
    </r>
    <r>
      <rPr>
        <rFont val="&quot;Source Sans Pro&quot;, &quot;Source Sans Pro-fallback&quot;, sans-serif"/>
        <b/>
        <sz val="9.0"/>
      </rPr>
      <t xml:space="preserve"> (20.)</t>
    </r>
  </si>
  <si>
    <r>
      <rPr>
        <rFont val="&quot;Source Sans Pro&quot;, &quot;Source Sans Pro-fallback&quot;, sans-serif"/>
        <b/>
        <color rgb="FF1155CC"/>
        <sz val="9.0"/>
        <u/>
      </rPr>
      <t>0:3</t>
    </r>
  </si>
  <si>
    <t>Sun 18/12/2016</t>
  </si>
  <si>
    <t>18/12/2016</t>
  </si>
  <si>
    <r>
      <rPr>
        <rFont val="&quot;Source Sans Pro&quot;, &quot;Source Sans Pro-fallback&quot;, sans-serif"/>
        <b/>
        <color rgb="FF1155CC"/>
        <sz val="9.0"/>
        <u/>
      </rPr>
      <t>Espanyol</t>
    </r>
    <r>
      <rPr>
        <rFont val="&quot;Source Sans Pro&quot;, &quot;Source Sans Pro-fallback&quot;, sans-serif"/>
        <b/>
        <sz val="9.0"/>
      </rPr>
      <t xml:space="preserve"> (9.)</t>
    </r>
  </si>
  <si>
    <r>
      <rPr>
        <rFont val="&quot;Source Sans Pro&quot;, &quot;Source Sans Pro-fallback&quot;, sans-serif"/>
        <b/>
        <color rgb="FF1155CC"/>
        <sz val="9.0"/>
        <u/>
      </rPr>
      <t>4:1</t>
    </r>
  </si>
  <si>
    <t>Sun 08/01/2017</t>
  </si>
  <si>
    <t>08/01/2017</t>
  </si>
  <si>
    <r>
      <rPr>
        <rFont val="&quot;Source Sans Pro&quot;, &quot;Source Sans Pro-fallback&quot;, sans-serif"/>
        <b/>
        <color rgb="FF1155CC"/>
        <sz val="9.0"/>
        <u/>
      </rPr>
      <t>Villarreal</t>
    </r>
    <r>
      <rPr>
        <rFont val="&quot;Source Sans Pro&quot;, &quot;Source Sans Pro-fallback&quot;, sans-serif"/>
        <b/>
        <sz val="9.0"/>
      </rPr>
      <t xml:space="preserve"> (4.)</t>
    </r>
  </si>
  <si>
    <r>
      <rPr>
        <rFont val="&quot;Source Sans Pro&quot;, &quot;Source Sans Pro-fallback&quot;, sans-serif"/>
        <b/>
        <color rgb="FF1155CC"/>
        <sz val="9.0"/>
        <u/>
      </rPr>
      <t>1:1</t>
    </r>
  </si>
  <si>
    <t>Sat 14/01/2017</t>
  </si>
  <si>
    <t>14/01/2017</t>
  </si>
  <si>
    <r>
      <rPr>
        <rFont val="&quot;Source Sans Pro&quot;, &quot;Source Sans Pro-fallback&quot;, sans-serif"/>
        <b/>
        <color rgb="FF1155CC"/>
        <sz val="9.0"/>
        <u/>
      </rPr>
      <t>UD Las Palmas</t>
    </r>
    <r>
      <rPr>
        <rFont val="&quot;Source Sans Pro&quot;, &quot;Source Sans Pro-fallback&quot;, sans-serif"/>
        <b/>
        <sz val="9.0"/>
      </rPr>
      <t xml:space="preserve"> (8.)</t>
    </r>
  </si>
  <si>
    <r>
      <rPr>
        <rFont val="&quot;Source Sans Pro&quot;, &quot;Source Sans Pro-fallback&quot;, sans-serif"/>
        <b/>
        <color rgb="FF1155CC"/>
        <sz val="9.0"/>
        <u/>
      </rPr>
      <t>5:0</t>
    </r>
  </si>
  <si>
    <t>Sun 22/01/2017</t>
  </si>
  <si>
    <t>22/01/2017</t>
  </si>
  <si>
    <r>
      <rPr>
        <rFont val="&quot;Source Sans Pro&quot;, &quot;Source Sans Pro-fallback&quot;, sans-serif"/>
        <b/>
        <color rgb="FF1155CC"/>
        <sz val="9.0"/>
        <u/>
      </rPr>
      <t>SD Eibar</t>
    </r>
    <r>
      <rPr>
        <rFont val="&quot;Source Sans Pro&quot;, &quot;Source Sans Pro-fallback&quot;, sans-serif"/>
        <b/>
        <sz val="9.0"/>
      </rPr>
      <t xml:space="preserve"> (9.)</t>
    </r>
  </si>
  <si>
    <r>
      <rPr>
        <rFont val="&quot;Source Sans Pro&quot;, &quot;Source Sans Pro-fallback&quot;, sans-serif"/>
        <b/>
        <color rgb="FF1155CC"/>
        <sz val="9.0"/>
        <u/>
      </rPr>
      <t>0:4</t>
    </r>
  </si>
  <si>
    <t>Sun 29/01/2017</t>
  </si>
  <si>
    <t>29/01/2017</t>
  </si>
  <si>
    <r>
      <rPr>
        <rFont val="&quot;Source Sans Pro&quot;, &quot;Source Sans Pro-fallback&quot;, sans-serif"/>
        <b/>
        <color rgb="FF1155CC"/>
        <sz val="9.0"/>
        <u/>
      </rPr>
      <t>Real Betis</t>
    </r>
    <r>
      <rPr>
        <rFont val="&quot;Source Sans Pro&quot;, &quot;Source Sans Pro-fallback&quot;, sans-serif"/>
        <b/>
        <sz val="9.0"/>
      </rPr>
      <t xml:space="preserve"> (13.)</t>
    </r>
  </si>
  <si>
    <r>
      <rPr>
        <rFont val="&quot;Source Sans Pro&quot;, &quot;Source Sans Pro-fallback&quot;, sans-serif"/>
        <b/>
        <color rgb="FF1155CC"/>
        <sz val="9.0"/>
        <u/>
      </rPr>
      <t>1:1</t>
    </r>
  </si>
  <si>
    <t>Sat 04/02/2017</t>
  </si>
  <si>
    <t>04/02/2017</t>
  </si>
  <si>
    <r>
      <rPr>
        <rFont val="&quot;Source Sans Pro&quot;, &quot;Source Sans Pro-fallback&quot;, sans-serif"/>
        <b/>
        <color rgb="FF1155CC"/>
        <sz val="9.0"/>
        <u/>
      </rPr>
      <t>Athletic Club</t>
    </r>
    <r>
      <rPr>
        <rFont val="&quot;Source Sans Pro&quot;, &quot;Source Sans Pro-fallback&quot;, sans-serif"/>
        <b/>
        <sz val="9.0"/>
      </rPr>
      <t xml:space="preserve"> (7.)</t>
    </r>
  </si>
  <si>
    <r>
      <rPr>
        <rFont val="&quot;Source Sans Pro&quot;, &quot;Source Sans Pro-fallback&quot;, sans-serif"/>
        <b/>
        <color rgb="FF1155CC"/>
        <sz val="9.0"/>
        <u/>
      </rPr>
      <t>3:0</t>
    </r>
  </si>
  <si>
    <t>Sat 11/02/2017</t>
  </si>
  <si>
    <t>11/02/2017</t>
  </si>
  <si>
    <r>
      <rPr>
        <rFont val="&quot;Source Sans Pro&quot;, &quot;Source Sans Pro-fallback&quot;, sans-serif"/>
        <b/>
        <color rgb="FF1155CC"/>
        <sz val="9.0"/>
        <u/>
      </rPr>
      <t>Alavés</t>
    </r>
    <r>
      <rPr>
        <rFont val="&quot;Source Sans Pro&quot;, &quot;Source Sans Pro-fallback&quot;, sans-serif"/>
        <b/>
        <sz val="9.0"/>
      </rPr>
      <t xml:space="preserve"> (12.)</t>
    </r>
  </si>
  <si>
    <r>
      <rPr>
        <rFont val="&quot;Source Sans Pro&quot;, &quot;Source Sans Pro-fallback&quot;, sans-serif"/>
        <b/>
        <color rgb="FF1155CC"/>
        <sz val="9.0"/>
        <u/>
      </rPr>
      <t>0:6</t>
    </r>
  </si>
  <si>
    <t>Sun 19/02/2017</t>
  </si>
  <si>
    <t>19/02/2017</t>
  </si>
  <si>
    <r>
      <rPr>
        <rFont val="&quot;Source Sans Pro&quot;, &quot;Source Sans Pro-fallback&quot;, sans-serif"/>
        <b/>
        <color rgb="FF1155CC"/>
        <sz val="9.0"/>
        <u/>
      </rPr>
      <t>CD Leganés</t>
    </r>
    <r>
      <rPr>
        <rFont val="&quot;Source Sans Pro&quot;, &quot;Source Sans Pro-fallback&quot;, sans-serif"/>
        <b/>
        <sz val="9.0"/>
      </rPr>
      <t xml:space="preserve"> (17.)</t>
    </r>
  </si>
  <si>
    <r>
      <rPr>
        <rFont val="&quot;Source Sans Pro&quot;, &quot;Source Sans Pro-fallback&quot;, sans-serif"/>
        <b/>
        <color rgb="FF1155CC"/>
        <sz val="9.0"/>
        <u/>
      </rPr>
      <t>2:1</t>
    </r>
  </si>
  <si>
    <t>Sun 26/02/2017</t>
  </si>
  <si>
    <t>26/02/2017</t>
  </si>
  <si>
    <r>
      <rPr>
        <rFont val="&quot;Source Sans Pro&quot;, &quot;Source Sans Pro-fallback&quot;, sans-serif"/>
        <b/>
        <color rgb="FF1155CC"/>
        <sz val="9.0"/>
        <u/>
      </rPr>
      <t>Atlético</t>
    </r>
    <r>
      <rPr>
        <rFont val="&quot;Source Sans Pro&quot;, &quot;Source Sans Pro-fallback&quot;, sans-serif"/>
        <b/>
        <sz val="9.0"/>
      </rPr>
      <t xml:space="preserve"> (4.)</t>
    </r>
  </si>
  <si>
    <r>
      <rPr>
        <rFont val="&quot;Source Sans Pro&quot;, &quot;Source Sans Pro-fallback&quot;, sans-serif"/>
        <b/>
        <color rgb="FF1155CC"/>
        <sz val="9.0"/>
        <u/>
      </rPr>
      <t>1:2</t>
    </r>
  </si>
  <si>
    <t>Wed 01/03/2017</t>
  </si>
  <si>
    <t>01/03/2017</t>
  </si>
  <si>
    <r>
      <rPr>
        <rFont val="&quot;Source Sans Pro&quot;, &quot;Source Sans Pro-fallback&quot;, sans-serif"/>
        <b/>
        <color rgb="FF1155CC"/>
        <sz val="9.0"/>
        <u/>
      </rPr>
      <t>Sporting Gijón</t>
    </r>
    <r>
      <rPr>
        <rFont val="&quot;Source Sans Pro&quot;, &quot;Source Sans Pro-fallback&quot;, sans-serif"/>
        <b/>
        <sz val="9.0"/>
      </rPr>
      <t xml:space="preserve"> (18.)</t>
    </r>
  </si>
  <si>
    <r>
      <rPr>
        <rFont val="&quot;Source Sans Pro&quot;, &quot;Source Sans Pro-fallback&quot;, sans-serif"/>
        <b/>
        <color rgb="FF1155CC"/>
        <sz val="9.0"/>
        <u/>
      </rPr>
      <t>6:1</t>
    </r>
  </si>
  <si>
    <t>Sat 04/03/2017</t>
  </si>
  <si>
    <t>04/03/2017</t>
  </si>
  <si>
    <r>
      <rPr>
        <rFont val="&quot;Source Sans Pro&quot;, &quot;Source Sans Pro-fallback&quot;, sans-serif"/>
        <b/>
        <color rgb="FF1155CC"/>
        <sz val="9.0"/>
        <u/>
      </rPr>
      <t>Celta de Vigo</t>
    </r>
    <r>
      <rPr>
        <rFont val="&quot;Source Sans Pro&quot;, &quot;Source Sans Pro-fallback&quot;, sans-serif"/>
        <b/>
        <sz val="9.0"/>
      </rPr>
      <t xml:space="preserve"> (10.)</t>
    </r>
  </si>
  <si>
    <t>3-4-3 Diamond</t>
  </si>
  <si>
    <r>
      <rPr>
        <rFont val="&quot;Source Sans Pro&quot;, &quot;Source Sans Pro-fallback&quot;, sans-serif"/>
        <b/>
        <color rgb="FF1155CC"/>
        <sz val="9.0"/>
        <u/>
      </rPr>
      <t>5:0</t>
    </r>
  </si>
  <si>
    <t>Sun 12/03/2017</t>
  </si>
  <si>
    <t>12/03/2017</t>
  </si>
  <si>
    <r>
      <rPr>
        <rFont val="&quot;Source Sans Pro&quot;, &quot;Source Sans Pro-fallback&quot;, sans-serif"/>
        <b/>
        <color rgb="FF000000"/>
        <sz val="9.0"/>
      </rPr>
      <t>Dep. La Coruña</t>
    </r>
    <r>
      <rPr>
        <rFont val="&quot;Source Sans Pro&quot;, &quot;Source Sans Pro-fallback&quot;, sans-serif"/>
        <b/>
        <color theme="1"/>
        <sz val="9.0"/>
      </rPr>
      <t xml:space="preserve"> (17.)</t>
    </r>
  </si>
  <si>
    <r>
      <rPr>
        <rFont val="&quot;Source Sans Pro&quot;, &quot;Source Sans Pro-fallback&quot;, sans-serif"/>
        <b/>
        <color rgb="FF1155CC"/>
        <sz val="9.0"/>
        <u/>
      </rPr>
      <t>2:1</t>
    </r>
  </si>
  <si>
    <t>Sun 19/03/2017</t>
  </si>
  <si>
    <t>19/03/2017</t>
  </si>
  <si>
    <r>
      <rPr>
        <rFont val="&quot;Source Sans Pro&quot;, &quot;Source Sans Pro-fallback&quot;, sans-serif"/>
        <b/>
        <color rgb="FF1155CC"/>
        <sz val="9.0"/>
        <u/>
      </rPr>
      <t>Valencia</t>
    </r>
    <r>
      <rPr>
        <rFont val="&quot;Source Sans Pro&quot;, &quot;Source Sans Pro-fallback&quot;, sans-serif"/>
        <b/>
        <sz val="9.0"/>
      </rPr>
      <t xml:space="preserve"> (13.)</t>
    </r>
  </si>
  <si>
    <r>
      <rPr>
        <rFont val="&quot;Source Sans Pro&quot;, &quot;Source Sans Pro-fallback&quot;, sans-serif"/>
        <b/>
        <color rgb="FF1155CC"/>
        <sz val="9.0"/>
        <u/>
      </rPr>
      <t>4:2</t>
    </r>
  </si>
  <si>
    <t>Sun 02/04/2017</t>
  </si>
  <si>
    <t>02/04/2017</t>
  </si>
  <si>
    <r>
      <rPr>
        <rFont val="&quot;Source Sans Pro&quot;, &quot;Source Sans Pro-fallback&quot;, sans-serif"/>
        <b/>
        <color rgb="FF1155CC"/>
        <sz val="9.0"/>
        <u/>
      </rPr>
      <t>Granada CF</t>
    </r>
    <r>
      <rPr>
        <rFont val="&quot;Source Sans Pro&quot;, &quot;Source Sans Pro-fallback&quot;, sans-serif"/>
        <b/>
        <sz val="9.0"/>
      </rPr>
      <t xml:space="preserve"> (19.)</t>
    </r>
  </si>
  <si>
    <r>
      <rPr>
        <rFont val="&quot;Source Sans Pro&quot;, &quot;Source Sans Pro-fallback&quot;, sans-serif"/>
        <b/>
        <color rgb="FF1155CC"/>
        <sz val="9.0"/>
        <u/>
      </rPr>
      <t>1:4</t>
    </r>
  </si>
  <si>
    <t>Wed 05/04/2017</t>
  </si>
  <si>
    <t>05/04/2017</t>
  </si>
  <si>
    <r>
      <rPr>
        <rFont val="&quot;Source Sans Pro&quot;, &quot;Source Sans Pro-fallback&quot;, sans-serif"/>
        <b/>
        <color rgb="FF1155CC"/>
        <sz val="9.0"/>
        <u/>
      </rPr>
      <t>Sevilla FC</t>
    </r>
    <r>
      <rPr>
        <rFont val="&quot;Source Sans Pro&quot;, &quot;Source Sans Pro-fallback&quot;, sans-serif"/>
        <b/>
        <sz val="9.0"/>
      </rPr>
      <t xml:space="preserve"> (4.)</t>
    </r>
  </si>
  <si>
    <r>
      <rPr>
        <rFont val="&quot;Source Sans Pro&quot;, &quot;Source Sans Pro-fallback&quot;, sans-serif"/>
        <b/>
        <color rgb="FF1155CC"/>
        <sz val="9.0"/>
        <u/>
      </rPr>
      <t>3:0</t>
    </r>
  </si>
  <si>
    <t>Sat 08/04/2017</t>
  </si>
  <si>
    <t>08/04/2017</t>
  </si>
  <si>
    <r>
      <rPr>
        <rFont val="&quot;Source Sans Pro&quot;, &quot;Source Sans Pro-fallback&quot;, sans-serif"/>
        <b/>
        <color rgb="FF1155CC"/>
        <sz val="9.0"/>
        <u/>
      </rPr>
      <t>Málaga CF</t>
    </r>
    <r>
      <rPr>
        <rFont val="&quot;Source Sans Pro&quot;, &quot;Source Sans Pro-fallback&quot;, sans-serif"/>
        <b/>
        <sz val="9.0"/>
      </rPr>
      <t xml:space="preserve"> (15.)</t>
    </r>
  </si>
  <si>
    <r>
      <rPr>
        <rFont val="&quot;Source Sans Pro&quot;, &quot;Source Sans Pro-fallback&quot;, sans-serif"/>
        <b/>
        <color rgb="FF1155CC"/>
        <sz val="9.0"/>
        <u/>
      </rPr>
      <t>2:0</t>
    </r>
  </si>
  <si>
    <t>Sat 15/04/2017</t>
  </si>
  <si>
    <t>15/04/2017</t>
  </si>
  <si>
    <r>
      <rPr>
        <rFont val="&quot;Source Sans Pro&quot;, &quot;Source Sans Pro-fallback&quot;, sans-serif"/>
        <b/>
        <color rgb="FF1155CC"/>
        <sz val="9.0"/>
        <u/>
      </rPr>
      <t>Real Sociedad</t>
    </r>
    <r>
      <rPr>
        <rFont val="&quot;Source Sans Pro&quot;, &quot;Source Sans Pro-fallback&quot;, sans-serif"/>
        <b/>
        <sz val="9.0"/>
      </rPr>
      <t xml:space="preserve"> (6.)</t>
    </r>
  </si>
  <si>
    <r>
      <rPr>
        <rFont val="&quot;Source Sans Pro&quot;, &quot;Source Sans Pro-fallback&quot;, sans-serif"/>
        <b/>
        <color rgb="FF1155CC"/>
        <sz val="9.0"/>
        <u/>
      </rPr>
      <t>3:2</t>
    </r>
  </si>
  <si>
    <t>Sun 23/04/2017</t>
  </si>
  <si>
    <t>23/04/2017</t>
  </si>
  <si>
    <r>
      <rPr>
        <rFont val="&quot;Source Sans Pro&quot;, &quot;Source Sans Pro-fallback&quot;, sans-serif"/>
        <b/>
        <color rgb="FF1155CC"/>
        <sz val="9.0"/>
        <u/>
      </rPr>
      <t>Real Madrid</t>
    </r>
    <r>
      <rPr>
        <rFont val="&quot;Source Sans Pro&quot;, &quot;Source Sans Pro-fallback&quot;, sans-serif"/>
        <b/>
        <sz val="9.0"/>
      </rPr>
      <t xml:space="preserve"> (1.)</t>
    </r>
  </si>
  <si>
    <r>
      <rPr>
        <rFont val="&quot;Source Sans Pro&quot;, &quot;Source Sans Pro-fallback&quot;, sans-serif"/>
        <b/>
        <color rgb="FF1155CC"/>
        <sz val="9.0"/>
        <u/>
      </rPr>
      <t>2:3</t>
    </r>
  </si>
  <si>
    <t>Wed 26/04/2017</t>
  </si>
  <si>
    <t>26/04/2017</t>
  </si>
  <si>
    <r>
      <rPr>
        <rFont val="&quot;Source Sans Pro&quot;, &quot;Source Sans Pro-fallback&quot;, sans-serif"/>
        <b/>
        <color rgb="FF1155CC"/>
        <sz val="9.0"/>
        <u/>
      </rPr>
      <t>CA Osasuna</t>
    </r>
    <r>
      <rPr>
        <rFont val="&quot;Source Sans Pro&quot;, &quot;Source Sans Pro-fallback&quot;, sans-serif"/>
        <b/>
        <sz val="9.0"/>
      </rPr>
      <t xml:space="preserve"> (20.)</t>
    </r>
  </si>
  <si>
    <r>
      <rPr>
        <rFont val="&quot;Source Sans Pro&quot;, &quot;Source Sans Pro-fallback&quot;, sans-serif"/>
        <b/>
        <color rgb="FF1155CC"/>
        <sz val="9.0"/>
        <u/>
      </rPr>
      <t>7:1</t>
    </r>
  </si>
  <si>
    <t>Sat 29/04/2017</t>
  </si>
  <si>
    <t>29/04/2017</t>
  </si>
  <si>
    <r>
      <rPr>
        <rFont val="&quot;Source Sans Pro&quot;, &quot;Source Sans Pro-fallback&quot;, sans-serif"/>
        <b/>
        <color rgb="FF1155CC"/>
        <sz val="9.0"/>
        <u/>
      </rPr>
      <t>Espanyol</t>
    </r>
    <r>
      <rPr>
        <rFont val="&quot;Source Sans Pro&quot;, &quot;Source Sans Pro-fallback&quot;, sans-serif"/>
        <b/>
        <sz val="9.0"/>
      </rPr>
      <t xml:space="preserve"> (9.)</t>
    </r>
  </si>
  <si>
    <r>
      <rPr>
        <rFont val="&quot;Source Sans Pro&quot;, &quot;Source Sans Pro-fallback&quot;, sans-serif"/>
        <b/>
        <color rgb="FF1155CC"/>
        <sz val="9.0"/>
        <u/>
      </rPr>
      <t>0:3</t>
    </r>
  </si>
  <si>
    <t>Sat 06/05/2017</t>
  </si>
  <si>
    <t>06/05/2017</t>
  </si>
  <si>
    <r>
      <rPr>
        <rFont val="&quot;Source Sans Pro&quot;, &quot;Source Sans Pro-fallback&quot;, sans-serif"/>
        <b/>
        <color rgb="FF1155CC"/>
        <sz val="9.0"/>
        <u/>
      </rPr>
      <t>Villarreal</t>
    </r>
    <r>
      <rPr>
        <rFont val="&quot;Source Sans Pro&quot;, &quot;Source Sans Pro-fallback&quot;, sans-serif"/>
        <b/>
        <sz val="9.0"/>
      </rPr>
      <t xml:space="preserve"> (5.)</t>
    </r>
  </si>
  <si>
    <r>
      <rPr>
        <rFont val="&quot;Source Sans Pro&quot;, &quot;Source Sans Pro-fallback&quot;, sans-serif"/>
        <b/>
        <color rgb="FF1155CC"/>
        <sz val="9.0"/>
        <u/>
      </rPr>
      <t>4:1</t>
    </r>
  </si>
  <si>
    <t>Sun 14/05/2017</t>
  </si>
  <si>
    <t>14/05/2017</t>
  </si>
  <si>
    <r>
      <rPr>
        <rFont val="&quot;Source Sans Pro&quot;, &quot;Source Sans Pro-fallback&quot;, sans-serif"/>
        <b/>
        <color rgb="FF1155CC"/>
        <sz val="9.0"/>
        <u/>
      </rPr>
      <t>UD Las Palmas</t>
    </r>
    <r>
      <rPr>
        <rFont val="&quot;Source Sans Pro&quot;, &quot;Source Sans Pro-fallback&quot;, sans-serif"/>
        <b/>
        <sz val="9.0"/>
      </rPr>
      <t xml:space="preserve"> (14.)</t>
    </r>
  </si>
  <si>
    <r>
      <rPr>
        <rFont val="&quot;Source Sans Pro&quot;, &quot;Source Sans Pro-fallback&quot;, sans-serif"/>
        <b/>
        <color rgb="FF1155CC"/>
        <sz val="9.0"/>
        <u/>
      </rPr>
      <t>1:4</t>
    </r>
  </si>
  <si>
    <t>Sun 21/05/2017</t>
  </si>
  <si>
    <t>21/05/2017</t>
  </si>
  <si>
    <r>
      <rPr>
        <rFont val="&quot;Source Sans Pro&quot;, &quot;Source Sans Pro-fallback&quot;, sans-serif"/>
        <b/>
        <color rgb="FF1155CC"/>
        <sz val="9.0"/>
        <u/>
      </rPr>
      <t>SD Eibar</t>
    </r>
    <r>
      <rPr>
        <rFont val="&quot;Source Sans Pro&quot;, &quot;Source Sans Pro-fallback&quot;, sans-serif"/>
        <b/>
        <sz val="9.0"/>
      </rPr>
      <t xml:space="preserve"> (8.)</t>
    </r>
  </si>
  <si>
    <r>
      <rPr>
        <rFont val="&quot;Source Sans Pro&quot;, &quot;Source Sans Pro-fallback&quot;, sans-serif"/>
        <b/>
        <color rgb="FF1155CC"/>
        <sz val="9.0"/>
        <u/>
      </rPr>
      <t>4:2</t>
    </r>
  </si>
  <si>
    <t>Tue 13/09/2016</t>
  </si>
  <si>
    <r>
      <rPr>
        <rFont val="&quot;Source Sans Pro&quot;, &quot;Source Sans Pro-fallback&quot;, sans-serif"/>
        <b/>
        <color rgb="FF1155CC"/>
        <sz val="9.0"/>
        <u/>
      </rPr>
      <t>Celtic</t>
    </r>
  </si>
  <si>
    <r>
      <rPr>
        <rFont val="&quot;Source Sans Pro&quot;, &quot;Source Sans Pro-fallback&quot;, sans-serif"/>
        <b/>
        <color rgb="FF1155CC"/>
        <sz val="9.0"/>
        <u/>
      </rPr>
      <t>7:0</t>
    </r>
  </si>
  <si>
    <t>Wed 28/09/2016</t>
  </si>
  <si>
    <r>
      <rPr>
        <rFont val="&quot;Source Sans Pro&quot;, &quot;Source Sans Pro-fallback&quot;, sans-serif"/>
        <b/>
        <color rgb="FF1155CC"/>
        <sz val="9.0"/>
        <u/>
      </rPr>
      <t>Mönchengladbach</t>
    </r>
  </si>
  <si>
    <r>
      <rPr>
        <rFont val="&quot;Source Sans Pro&quot;, &quot;Source Sans Pro-fallback&quot;, sans-serif"/>
        <b/>
        <color rgb="FF1155CC"/>
        <sz val="9.0"/>
        <u/>
      </rPr>
      <t>1:2</t>
    </r>
  </si>
  <si>
    <t>Wed 19/10/2016</t>
  </si>
  <si>
    <r>
      <rPr>
        <rFont val="&quot;Source Sans Pro&quot;, &quot;Source Sans Pro-fallback&quot;, sans-serif"/>
        <b/>
        <color rgb="FF1155CC"/>
        <sz val="9.0"/>
        <u/>
      </rPr>
      <t>Man City</t>
    </r>
  </si>
  <si>
    <r>
      <rPr>
        <rFont val="&quot;Source Sans Pro&quot;, &quot;Source Sans Pro-fallback&quot;, sans-serif"/>
        <b/>
        <color rgb="FF1155CC"/>
        <sz val="9.0"/>
        <u/>
      </rPr>
      <t>4:0</t>
    </r>
  </si>
  <si>
    <t>Tue 01/11/2016</t>
  </si>
  <si>
    <r>
      <rPr>
        <rFont val="&quot;Source Sans Pro&quot;, &quot;Source Sans Pro-fallback&quot;, sans-serif"/>
        <b/>
        <color rgb="FF1155CC"/>
        <sz val="9.0"/>
        <u/>
      </rPr>
      <t>Man City</t>
    </r>
  </si>
  <si>
    <r>
      <rPr>
        <rFont val="&quot;Source Sans Pro&quot;, &quot;Source Sans Pro-fallback&quot;, sans-serif"/>
        <b/>
        <color rgb="FF1155CC"/>
        <sz val="9.0"/>
        <u/>
      </rPr>
      <t>3:1</t>
    </r>
  </si>
  <si>
    <t>Wed 23/11/2016</t>
  </si>
  <si>
    <r>
      <rPr>
        <rFont val="&quot;Source Sans Pro&quot;, &quot;Source Sans Pro-fallback&quot;, sans-serif"/>
        <b/>
        <color rgb="FF1155CC"/>
        <sz val="9.0"/>
        <u/>
      </rPr>
      <t>Celtic</t>
    </r>
  </si>
  <si>
    <r>
      <rPr>
        <rFont val="&quot;Source Sans Pro&quot;, &quot;Source Sans Pro-fallback&quot;, sans-serif"/>
        <b/>
        <color rgb="FF1155CC"/>
        <sz val="9.0"/>
        <u/>
      </rPr>
      <t>0:2</t>
    </r>
  </si>
  <si>
    <t>Tue 06/12/2016</t>
  </si>
  <si>
    <r>
      <rPr>
        <rFont val="&quot;Source Sans Pro&quot;, &quot;Source Sans Pro-fallback&quot;, sans-serif"/>
        <b/>
        <color rgb="FF1155CC"/>
        <sz val="9.0"/>
        <u/>
      </rPr>
      <t>Mönchengladbach</t>
    </r>
  </si>
  <si>
    <r>
      <rPr>
        <rFont val="&quot;Source Sans Pro&quot;, &quot;Source Sans Pro-fallback&quot;, sans-serif"/>
        <b/>
        <color rgb="FF1155CC"/>
        <sz val="9.0"/>
        <u/>
      </rPr>
      <t>4:0</t>
    </r>
  </si>
  <si>
    <t>Tue 14/02/2017</t>
  </si>
  <si>
    <r>
      <rPr>
        <rFont val="&quot;Source Sans Pro&quot;, &quot;Source Sans Pro-fallback&quot;, sans-serif"/>
        <b/>
        <color rgb="FF1155CC"/>
        <sz val="9.0"/>
        <u/>
      </rPr>
      <t>PSG</t>
    </r>
  </si>
  <si>
    <r>
      <rPr>
        <rFont val="&quot;Source Sans Pro&quot;, &quot;Source Sans Pro-fallback&quot;, sans-serif"/>
        <b/>
        <color rgb="FF1155CC"/>
        <sz val="9.0"/>
        <u/>
      </rPr>
      <t>4:0</t>
    </r>
  </si>
  <si>
    <t>Wed 08/03/2017</t>
  </si>
  <si>
    <r>
      <rPr>
        <rFont val="&quot;Source Sans Pro&quot;, &quot;Source Sans Pro-fallback&quot;, sans-serif"/>
        <b/>
        <color rgb="FF1155CC"/>
        <sz val="9.0"/>
        <u/>
      </rPr>
      <t>PSG</t>
    </r>
  </si>
  <si>
    <t>3-1-4-2</t>
  </si>
  <si>
    <r>
      <rPr>
        <rFont val="&quot;Source Sans Pro&quot;, &quot;Source Sans Pro-fallback&quot;, sans-serif"/>
        <b/>
        <color rgb="FF1155CC"/>
        <sz val="9.0"/>
        <u/>
      </rPr>
      <t>6:1</t>
    </r>
  </si>
  <si>
    <t>Tue 11/04/2017</t>
  </si>
  <si>
    <r>
      <rPr>
        <rFont val="&quot;Source Sans Pro&quot;, &quot;Source Sans Pro-fallback&quot;, sans-serif"/>
        <b/>
        <color rgb="FF1155CC"/>
        <sz val="9.0"/>
        <u/>
      </rPr>
      <t>Juventus</t>
    </r>
  </si>
  <si>
    <r>
      <rPr>
        <rFont val="&quot;Source Sans Pro&quot;, &quot;Source Sans Pro-fallback&quot;, sans-serif"/>
        <b/>
        <color rgb="FF1155CC"/>
        <sz val="9.0"/>
        <u/>
      </rPr>
      <t>3:0</t>
    </r>
  </si>
  <si>
    <t>Wed 19/04/2017</t>
  </si>
  <si>
    <r>
      <rPr>
        <rFont val="&quot;Source Sans Pro&quot;, &quot;Source Sans Pro-fallback&quot;, sans-serif"/>
        <b/>
        <color rgb="FF1155CC"/>
        <sz val="9.0"/>
        <u/>
      </rPr>
      <t>Juventus</t>
    </r>
  </si>
  <si>
    <r>
      <rPr>
        <rFont val="&quot;Source Sans Pro&quot;, &quot;Source Sans Pro-fallback&quot;, sans-serif"/>
        <b/>
        <color rgb="FF1155CC"/>
        <sz val="9.0"/>
        <u/>
      </rPr>
      <t>0:0</t>
    </r>
  </si>
  <si>
    <t>Wed 30/11/2016</t>
  </si>
  <si>
    <r>
      <rPr>
        <rFont val="&quot;Source Sans Pro&quot;, &quot;Source Sans Pro-fallback&quot;, sans-serif"/>
        <b/>
        <color rgb="FF1155CC"/>
        <sz val="9.0"/>
        <u/>
      </rPr>
      <t>Hércules CF</t>
    </r>
  </si>
  <si>
    <r>
      <rPr>
        <rFont val="&quot;Source Sans Pro&quot;, &quot;Source Sans Pro-fallback&quot;, sans-serif"/>
        <b/>
        <color rgb="FF1155CC"/>
        <sz val="9.0"/>
        <u/>
      </rPr>
      <t>1:1</t>
    </r>
  </si>
  <si>
    <t>Wed 21/12/2016</t>
  </si>
  <si>
    <r>
      <rPr>
        <rFont val="&quot;Source Sans Pro&quot;, &quot;Source Sans Pro-fallback&quot;, sans-serif"/>
        <b/>
        <color rgb="FF1155CC"/>
        <sz val="9.0"/>
        <u/>
      </rPr>
      <t>Hércules CF</t>
    </r>
  </si>
  <si>
    <r>
      <rPr>
        <rFont val="&quot;Source Sans Pro&quot;, &quot;Source Sans Pro-fallback&quot;, sans-serif"/>
        <b/>
        <color rgb="FF1155CC"/>
        <sz val="9.0"/>
        <u/>
      </rPr>
      <t>7:0</t>
    </r>
  </si>
  <si>
    <t>Thu 05/01/2017</t>
  </si>
  <si>
    <r>
      <rPr>
        <rFont val="&quot;Source Sans Pro&quot;, &quot;Source Sans Pro-fallback&quot;, sans-serif"/>
        <b/>
        <color rgb="FF1155CC"/>
        <sz val="9.0"/>
        <u/>
      </rPr>
      <t>Athletic Club</t>
    </r>
  </si>
  <si>
    <r>
      <rPr>
        <rFont val="&quot;Source Sans Pro&quot;, &quot;Source Sans Pro-fallback&quot;, sans-serif"/>
        <b/>
        <color rgb="FF1155CC"/>
        <sz val="9.0"/>
        <u/>
      </rPr>
      <t>2:1</t>
    </r>
  </si>
  <si>
    <t>Wed 11/01/2017</t>
  </si>
  <si>
    <r>
      <rPr>
        <rFont val="&quot;Source Sans Pro&quot;, &quot;Source Sans Pro-fallback&quot;, sans-serif"/>
        <b/>
        <color rgb="FF1155CC"/>
        <sz val="9.0"/>
        <u/>
      </rPr>
      <t>Athletic Club</t>
    </r>
  </si>
  <si>
    <r>
      <rPr>
        <rFont val="&quot;Source Sans Pro&quot;, &quot;Source Sans Pro-fallback&quot;, sans-serif"/>
        <b/>
        <color rgb="FF1155CC"/>
        <sz val="9.0"/>
        <u/>
      </rPr>
      <t>3:1</t>
    </r>
  </si>
  <si>
    <t>Thu 19/01/2017</t>
  </si>
  <si>
    <r>
      <rPr>
        <rFont val="&quot;Source Sans Pro&quot;, &quot;Source Sans Pro-fallback&quot;, sans-serif"/>
        <b/>
        <color rgb="FF1155CC"/>
        <sz val="9.0"/>
        <u/>
      </rPr>
      <t>Real Sociedad</t>
    </r>
  </si>
  <si>
    <r>
      <rPr>
        <rFont val="&quot;Source Sans Pro&quot;, &quot;Source Sans Pro-fallback&quot;, sans-serif"/>
        <b/>
        <color rgb="FF1155CC"/>
        <sz val="9.0"/>
        <u/>
      </rPr>
      <t>0:1</t>
    </r>
  </si>
  <si>
    <t>Thu 26/01/2017</t>
  </si>
  <si>
    <r>
      <rPr>
        <rFont val="&quot;Source Sans Pro&quot;, &quot;Source Sans Pro-fallback&quot;, sans-serif"/>
        <b/>
        <color rgb="FF1155CC"/>
        <sz val="9.0"/>
        <u/>
      </rPr>
      <t>Real Sociedad</t>
    </r>
  </si>
  <si>
    <r>
      <rPr>
        <rFont val="&quot;Source Sans Pro&quot;, &quot;Source Sans Pro-fallback&quot;, sans-serif"/>
        <b/>
        <color rgb="FF1155CC"/>
        <sz val="9.0"/>
        <u/>
      </rPr>
      <t>5:2</t>
    </r>
  </si>
  <si>
    <t>Wed 01/02/2017</t>
  </si>
  <si>
    <r>
      <rPr>
        <rFont val="&quot;Source Sans Pro&quot;, &quot;Source Sans Pro-fallback&quot;, sans-serif"/>
        <b/>
        <color rgb="FF1155CC"/>
        <sz val="9.0"/>
        <u/>
      </rPr>
      <t>Atlético</t>
    </r>
  </si>
  <si>
    <r>
      <rPr>
        <rFont val="&quot;Source Sans Pro&quot;, &quot;Source Sans Pro-fallback&quot;, sans-serif"/>
        <b/>
        <color rgb="FF1155CC"/>
        <sz val="9.0"/>
        <u/>
      </rPr>
      <t>1:2</t>
    </r>
  </si>
  <si>
    <t>Tue 07/02/2017</t>
  </si>
  <si>
    <r>
      <rPr>
        <rFont val="&quot;Source Sans Pro&quot;, &quot;Source Sans Pro-fallback&quot;, sans-serif"/>
        <b/>
        <color rgb="FF1155CC"/>
        <sz val="9.0"/>
        <u/>
      </rPr>
      <t>Atlético</t>
    </r>
  </si>
  <si>
    <r>
      <rPr>
        <rFont val="&quot;Source Sans Pro&quot;, &quot;Source Sans Pro-fallback&quot;, sans-serif"/>
        <b/>
        <color rgb="FF1155CC"/>
        <sz val="9.0"/>
        <u/>
      </rPr>
      <t>1:1</t>
    </r>
  </si>
  <si>
    <t>Sat 27/05/2017</t>
  </si>
  <si>
    <r>
      <rPr>
        <rFont val="&quot;Source Sans Pro&quot;, &quot;Source Sans Pro-fallback&quot;, sans-serif"/>
        <b/>
        <color rgb="FF1155CC"/>
        <sz val="9.0"/>
        <u/>
      </rPr>
      <t>Alavés</t>
    </r>
  </si>
  <si>
    <r>
      <rPr>
        <rFont val="&quot;Source Sans Pro&quot;, &quot;Source Sans Pro-fallback&quot;, sans-serif"/>
        <b/>
        <color rgb="FF1155CC"/>
        <sz val="9.0"/>
        <u/>
      </rPr>
      <t>3:1</t>
    </r>
  </si>
  <si>
    <t>Sun 23/08/2015</t>
  </si>
  <si>
    <r>
      <rPr>
        <rFont val="&quot;Source Sans Pro&quot;, &quot;Source Sans Pro-fallback&quot;, sans-serif"/>
        <b/>
        <color rgb="FF1155CC"/>
        <sz val="9.0"/>
        <u/>
      </rPr>
      <t>Athletic Club</t>
    </r>
    <r>
      <rPr>
        <rFont val="&quot;Source Sans Pro&quot;, &quot;Source Sans Pro-fallback&quot;, sans-serif"/>
        <b/>
        <sz val="9.0"/>
      </rPr>
      <t xml:space="preserve"> (5.)</t>
    </r>
  </si>
  <si>
    <r>
      <rPr>
        <rFont val="&quot;Source Sans Pro&quot;, &quot;Source Sans Pro-fallback&quot;, sans-serif"/>
        <b/>
        <color rgb="FF1155CC"/>
        <sz val="9.0"/>
        <u/>
      </rPr>
      <t>0:1</t>
    </r>
  </si>
  <si>
    <t>15/16</t>
  </si>
  <si>
    <t>Sat 29/08/2015</t>
  </si>
  <si>
    <r>
      <rPr>
        <rFont val="&quot;Source Sans Pro&quot;, &quot;Source Sans Pro-fallback&quot;, sans-serif"/>
        <b/>
        <color rgb="FF1155CC"/>
        <sz val="9.0"/>
        <u/>
      </rPr>
      <t>Málaga CF</t>
    </r>
    <r>
      <rPr>
        <rFont val="&quot;Source Sans Pro&quot;, &quot;Source Sans Pro-fallback&quot;, sans-serif"/>
        <b/>
        <sz val="9.0"/>
      </rPr>
      <t xml:space="preserve"> (11.)</t>
    </r>
  </si>
  <si>
    <r>
      <rPr>
        <rFont val="&quot;Source Sans Pro&quot;, &quot;Source Sans Pro-fallback&quot;, sans-serif"/>
        <b/>
        <color rgb="FF1155CC"/>
        <sz val="9.0"/>
        <u/>
      </rPr>
      <t>1:0</t>
    </r>
  </si>
  <si>
    <t>Sat 12/09/2015</t>
  </si>
  <si>
    <r>
      <rPr>
        <rFont val="&quot;Source Sans Pro&quot;, &quot;Source Sans Pro-fallback&quot;, sans-serif"/>
        <b/>
        <color rgb="FF1155CC"/>
        <sz val="9.0"/>
        <u/>
      </rPr>
      <t>Atlético</t>
    </r>
    <r>
      <rPr>
        <rFont val="&quot;Source Sans Pro&quot;, &quot;Source Sans Pro-fallback&quot;, sans-serif"/>
        <b/>
        <sz val="9.0"/>
      </rPr>
      <t xml:space="preserve"> (3.)</t>
    </r>
  </si>
  <si>
    <r>
      <rPr>
        <rFont val="&quot;Source Sans Pro&quot;, &quot;Source Sans Pro-fallback&quot;, sans-serif"/>
        <b/>
        <color rgb="FF1155CC"/>
        <sz val="9.0"/>
        <u/>
      </rPr>
      <t>1:2</t>
    </r>
  </si>
  <si>
    <t>Sun 20/09/2015</t>
  </si>
  <si>
    <r>
      <rPr>
        <rFont val="&quot;Source Sans Pro&quot;, &quot;Source Sans Pro-fallback&quot;, sans-serif"/>
        <b/>
        <color rgb="FF1155CC"/>
        <sz val="9.0"/>
        <u/>
      </rPr>
      <t>Levante</t>
    </r>
    <r>
      <rPr>
        <rFont val="&quot;Source Sans Pro&quot;, &quot;Source Sans Pro-fallback&quot;, sans-serif"/>
        <b/>
        <sz val="9.0"/>
      </rPr>
      <t xml:space="preserve"> (13.)</t>
    </r>
  </si>
  <si>
    <r>
      <rPr>
        <rFont val="&quot;Source Sans Pro&quot;, &quot;Source Sans Pro-fallback&quot;, sans-serif"/>
        <b/>
        <color rgb="FF1155CC"/>
        <sz val="9.0"/>
        <u/>
      </rPr>
      <t>4:1</t>
    </r>
  </si>
  <si>
    <t>Wed 23/09/2015</t>
  </si>
  <si>
    <r>
      <rPr>
        <rFont val="&quot;Source Sans Pro&quot;, &quot;Source Sans Pro-fallback&quot;, sans-serif"/>
        <b/>
        <color rgb="FF1155CC"/>
        <sz val="9.0"/>
        <u/>
      </rPr>
      <t>Celta de Vigo</t>
    </r>
    <r>
      <rPr>
        <rFont val="&quot;Source Sans Pro&quot;, &quot;Source Sans Pro-fallback&quot;, sans-serif"/>
        <b/>
        <sz val="9.0"/>
      </rPr>
      <t xml:space="preserve"> (4.)</t>
    </r>
  </si>
  <si>
    <r>
      <rPr>
        <rFont val="&quot;Source Sans Pro&quot;, &quot;Source Sans Pro-fallback&quot;, sans-serif"/>
        <b/>
        <color rgb="FF1155CC"/>
        <sz val="9.0"/>
        <u/>
      </rPr>
      <t>4:1</t>
    </r>
  </si>
  <si>
    <t>Sat 26/09/2015</t>
  </si>
  <si>
    <r>
      <rPr>
        <rFont val="&quot;Source Sans Pro&quot;, &quot;Source Sans Pro-fallback&quot;, sans-serif"/>
        <b/>
        <color rgb="FF1155CC"/>
        <sz val="9.0"/>
        <u/>
      </rPr>
      <t>UD Las Palmas</t>
    </r>
    <r>
      <rPr>
        <rFont val="&quot;Source Sans Pro&quot;, &quot;Source Sans Pro-fallback&quot;, sans-serif"/>
        <b/>
        <sz val="9.0"/>
      </rPr>
      <t xml:space="preserve"> (14.)</t>
    </r>
  </si>
  <si>
    <r>
      <rPr>
        <rFont val="&quot;Source Sans Pro&quot;, &quot;Source Sans Pro-fallback&quot;, sans-serif"/>
        <b/>
        <color rgb="FF1155CC"/>
        <sz val="9.0"/>
        <u/>
      </rPr>
      <t>2:1</t>
    </r>
  </si>
  <si>
    <t>Sat 03/10/2015</t>
  </si>
  <si>
    <r>
      <rPr>
        <rFont val="&quot;Source Sans Pro&quot;, &quot;Source Sans Pro-fallback&quot;, sans-serif"/>
        <b/>
        <color rgb="FF1155CC"/>
        <sz val="9.0"/>
        <u/>
      </rPr>
      <t>Sevilla FC</t>
    </r>
    <r>
      <rPr>
        <rFont val="&quot;Source Sans Pro&quot;, &quot;Source Sans Pro-fallback&quot;, sans-serif"/>
        <b/>
        <sz val="9.0"/>
      </rPr>
      <t xml:space="preserve"> (16.)</t>
    </r>
  </si>
  <si>
    <r>
      <rPr>
        <rFont val="&quot;Source Sans Pro&quot;, &quot;Source Sans Pro-fallback&quot;, sans-serif"/>
        <b/>
        <color rgb="FF1155CC"/>
        <sz val="9.0"/>
        <u/>
      </rPr>
      <t>2:1</t>
    </r>
  </si>
  <si>
    <t>Sat 17/10/2015</t>
  </si>
  <si>
    <r>
      <rPr>
        <rFont val="&quot;Source Sans Pro&quot;, &quot;Source Sans Pro-fallback&quot;, sans-serif"/>
        <b/>
        <color rgb="FF1155CC"/>
        <sz val="9.0"/>
        <u/>
      </rPr>
      <t>Rayo Vallecano</t>
    </r>
    <r>
      <rPr>
        <rFont val="&quot;Source Sans Pro&quot;, &quot;Source Sans Pro-fallback&quot;, sans-serif"/>
        <b/>
        <sz val="9.0"/>
      </rPr>
      <t xml:space="preserve"> (15.)</t>
    </r>
  </si>
  <si>
    <r>
      <rPr>
        <rFont val="&quot;Source Sans Pro&quot;, &quot;Source Sans Pro-fallback&quot;, sans-serif"/>
        <b/>
        <color rgb="FF1155CC"/>
        <sz val="9.0"/>
        <u/>
      </rPr>
      <t>5:2</t>
    </r>
  </si>
  <si>
    <t>Sun 25/10/2015</t>
  </si>
  <si>
    <r>
      <rPr>
        <rFont val="&quot;Source Sans Pro&quot;, &quot;Source Sans Pro-fallback&quot;, sans-serif"/>
        <b/>
        <color rgb="FF1155CC"/>
        <sz val="9.0"/>
        <u/>
      </rPr>
      <t>SD Eibar</t>
    </r>
    <r>
      <rPr>
        <rFont val="&quot;Source Sans Pro&quot;, &quot;Source Sans Pro-fallback&quot;, sans-serif"/>
        <b/>
        <sz val="9.0"/>
      </rPr>
      <t xml:space="preserve"> (7.)</t>
    </r>
  </si>
  <si>
    <r>
      <rPr>
        <rFont val="&quot;Source Sans Pro&quot;, &quot;Source Sans Pro-fallback&quot;, sans-serif"/>
        <b/>
        <color rgb="FF1155CC"/>
        <sz val="9.0"/>
        <u/>
      </rPr>
      <t>3:1</t>
    </r>
  </si>
  <si>
    <t>Sat 31/10/2015</t>
  </si>
  <si>
    <r>
      <rPr>
        <rFont val="&quot;Source Sans Pro&quot;, &quot;Source Sans Pro-fallback&quot;, sans-serif"/>
        <b/>
        <color rgb="FF1155CC"/>
        <sz val="9.0"/>
        <u/>
      </rPr>
      <t>Getafe</t>
    </r>
    <r>
      <rPr>
        <rFont val="&quot;Source Sans Pro&quot;, &quot;Source Sans Pro-fallback&quot;, sans-serif"/>
        <b/>
        <sz val="9.0"/>
      </rPr>
      <t xml:space="preserve"> (13.)</t>
    </r>
  </si>
  <si>
    <r>
      <rPr>
        <rFont val="&quot;Source Sans Pro&quot;, &quot;Source Sans Pro-fallback&quot;, sans-serif"/>
        <b/>
        <color rgb="FF1155CC"/>
        <sz val="9.0"/>
        <u/>
      </rPr>
      <t>0:2</t>
    </r>
  </si>
  <si>
    <t>Sun 08/11/2015</t>
  </si>
  <si>
    <r>
      <rPr>
        <rFont val="&quot;Source Sans Pro&quot;, &quot;Source Sans Pro-fallback&quot;, sans-serif"/>
        <b/>
        <color rgb="FF1155CC"/>
        <sz val="9.0"/>
        <u/>
      </rPr>
      <t>Villarreal</t>
    </r>
    <r>
      <rPr>
        <rFont val="&quot;Source Sans Pro&quot;, &quot;Source Sans Pro-fallback&quot;, sans-serif"/>
        <b/>
        <sz val="9.0"/>
      </rPr>
      <t xml:space="preserve"> (4.)</t>
    </r>
  </si>
  <si>
    <r>
      <rPr>
        <rFont val="&quot;Source Sans Pro&quot;, &quot;Source Sans Pro-fallback&quot;, sans-serif"/>
        <b/>
        <color rgb="FF1155CC"/>
        <sz val="9.0"/>
        <u/>
      </rPr>
      <t>3:0</t>
    </r>
  </si>
  <si>
    <t>Sat 21/11/2015</t>
  </si>
  <si>
    <r>
      <rPr>
        <rFont val="&quot;Source Sans Pro&quot;, &quot;Source Sans Pro-fallback&quot;, sans-serif"/>
        <b/>
        <color rgb="FF1155CC"/>
        <sz val="9.0"/>
        <u/>
      </rPr>
      <t>Real Madrid</t>
    </r>
    <r>
      <rPr>
        <rFont val="&quot;Source Sans Pro&quot;, &quot;Source Sans Pro-fallback&quot;, sans-serif"/>
        <b/>
        <sz val="9.0"/>
      </rPr>
      <t xml:space="preserve"> (2.)</t>
    </r>
  </si>
  <si>
    <r>
      <rPr>
        <rFont val="&quot;Source Sans Pro&quot;, &quot;Source Sans Pro-fallback&quot;, sans-serif"/>
        <b/>
        <color rgb="FF1155CC"/>
        <sz val="9.0"/>
        <u/>
      </rPr>
      <t>0:4</t>
    </r>
  </si>
  <si>
    <t>Sat 28/11/2015</t>
  </si>
  <si>
    <r>
      <rPr>
        <rFont val="&quot;Source Sans Pro&quot;, &quot;Source Sans Pro-fallback&quot;, sans-serif"/>
        <b/>
        <color rgb="FF1155CC"/>
        <sz val="9.0"/>
        <u/>
      </rPr>
      <t>Real Sociedad</t>
    </r>
    <r>
      <rPr>
        <rFont val="&quot;Source Sans Pro&quot;, &quot;Source Sans Pro-fallback&quot;, sans-serif"/>
        <b/>
        <sz val="9.0"/>
      </rPr>
      <t xml:space="preserve"> (14.)</t>
    </r>
  </si>
  <si>
    <r>
      <rPr>
        <rFont val="&quot;Source Sans Pro&quot;, &quot;Source Sans Pro-fallback&quot;, sans-serif"/>
        <b/>
        <color rgb="FF1155CC"/>
        <sz val="9.0"/>
        <u/>
      </rPr>
      <t>4:0</t>
    </r>
  </si>
  <si>
    <t>Sat 05/12/2015</t>
  </si>
  <si>
    <r>
      <rPr>
        <rFont val="&quot;Source Sans Pro&quot;, &quot;Source Sans Pro-fallback&quot;, sans-serif"/>
        <b/>
        <color rgb="FF1155CC"/>
        <sz val="9.0"/>
        <u/>
      </rPr>
      <t>Valencia</t>
    </r>
    <r>
      <rPr>
        <rFont val="&quot;Source Sans Pro&quot;, &quot;Source Sans Pro-fallback&quot;, sans-serif"/>
        <b/>
        <sz val="9.0"/>
      </rPr>
      <t xml:space="preserve"> (9.)</t>
    </r>
  </si>
  <si>
    <r>
      <rPr>
        <rFont val="&quot;Source Sans Pro&quot;, &quot;Source Sans Pro-fallback&quot;, sans-serif"/>
        <b/>
        <color rgb="FF1155CC"/>
        <sz val="9.0"/>
        <u/>
      </rPr>
      <t>1:1</t>
    </r>
  </si>
  <si>
    <t>Sat 12/12/2015</t>
  </si>
  <si>
    <r>
      <rPr>
        <rFont val="&quot;Source Sans Pro&quot;, &quot;Source Sans Pro-fallback&quot;, sans-serif"/>
        <b/>
        <color rgb="FF1155CC"/>
        <sz val="9.0"/>
        <u/>
      </rPr>
      <t>Dep. La Coruña</t>
    </r>
    <r>
      <rPr>
        <rFont val="&quot;Source Sans Pro&quot;, &quot;Source Sans Pro-fallback&quot;, sans-serif"/>
        <b/>
        <sz val="9.0"/>
      </rPr>
      <t xml:space="preserve"> (6.)</t>
    </r>
  </si>
  <si>
    <r>
      <rPr>
        <rFont val="&quot;Source Sans Pro&quot;, &quot;Source Sans Pro-fallback&quot;, sans-serif"/>
        <b/>
        <color rgb="FF1155CC"/>
        <sz val="9.0"/>
        <u/>
      </rPr>
      <t>2:2</t>
    </r>
  </si>
  <si>
    <t>Wed 17/02/2016</t>
  </si>
  <si>
    <r>
      <rPr>
        <rFont val="&quot;Source Sans Pro&quot;, &quot;Source Sans Pro-fallback&quot;, sans-serif"/>
        <b/>
        <color rgb="FF1155CC"/>
        <sz val="9.0"/>
        <u/>
      </rPr>
      <t>Sporting Gijón</t>
    </r>
    <r>
      <rPr>
        <rFont val="&quot;Source Sans Pro&quot;, &quot;Source Sans Pro-fallback&quot;, sans-serif"/>
        <b/>
        <sz val="9.0"/>
      </rPr>
      <t xml:space="preserve"> (15.)</t>
    </r>
  </si>
  <si>
    <r>
      <rPr>
        <rFont val="&quot;Source Sans Pro&quot;, &quot;Source Sans Pro-fallback&quot;, sans-serif"/>
        <b/>
        <color rgb="FF1155CC"/>
        <sz val="9.0"/>
        <u/>
      </rPr>
      <t>1:3</t>
    </r>
  </si>
  <si>
    <t>Wed 30/12/2015</t>
  </si>
  <si>
    <r>
      <rPr>
        <rFont val="&quot;Source Sans Pro&quot;, &quot;Source Sans Pro-fallback&quot;, sans-serif"/>
        <b/>
        <color rgb="FF1155CC"/>
        <sz val="9.0"/>
        <u/>
      </rPr>
      <t>Real Betis</t>
    </r>
    <r>
      <rPr>
        <rFont val="&quot;Source Sans Pro&quot;, &quot;Source Sans Pro-fallback&quot;, sans-serif"/>
        <b/>
        <sz val="9.0"/>
      </rPr>
      <t xml:space="preserve"> (12.)</t>
    </r>
  </si>
  <si>
    <r>
      <rPr>
        <rFont val="&quot;Source Sans Pro&quot;, &quot;Source Sans Pro-fallback&quot;, sans-serif"/>
        <b/>
        <color rgb="FF1155CC"/>
        <sz val="9.0"/>
        <u/>
      </rPr>
      <t>4:0</t>
    </r>
  </si>
  <si>
    <t>Sat 02/01/2016</t>
  </si>
  <si>
    <r>
      <rPr>
        <rFont val="&quot;Source Sans Pro&quot;, &quot;Source Sans Pro-fallback&quot;, sans-serif"/>
        <b/>
        <color rgb="FF1155CC"/>
        <sz val="9.0"/>
        <u/>
      </rPr>
      <t>Espanyol</t>
    </r>
    <r>
      <rPr>
        <rFont val="&quot;Source Sans Pro&quot;, &quot;Source Sans Pro-fallback&quot;, sans-serif"/>
        <b/>
        <sz val="9.0"/>
      </rPr>
      <t xml:space="preserve"> (11.)</t>
    </r>
  </si>
  <si>
    <r>
      <rPr>
        <rFont val="&quot;Source Sans Pro&quot;, &quot;Source Sans Pro-fallback&quot;, sans-serif"/>
        <b/>
        <color rgb="FF1155CC"/>
        <sz val="9.0"/>
        <u/>
      </rPr>
      <t>0:0</t>
    </r>
  </si>
  <si>
    <t>Sat 09/01/2016</t>
  </si>
  <si>
    <r>
      <rPr>
        <rFont val="&quot;Source Sans Pro&quot;, &quot;Source Sans Pro-fallback&quot;, sans-serif"/>
        <b/>
        <color rgb="FF1155CC"/>
        <sz val="9.0"/>
        <u/>
      </rPr>
      <t>Granada CF</t>
    </r>
    <r>
      <rPr>
        <rFont val="&quot;Source Sans Pro&quot;, &quot;Source Sans Pro-fallback&quot;, sans-serif"/>
        <b/>
        <sz val="9.0"/>
      </rPr>
      <t xml:space="preserve"> (17.)</t>
    </r>
  </si>
  <si>
    <r>
      <rPr>
        <rFont val="&quot;Source Sans Pro&quot;, &quot;Source Sans Pro-fallback&quot;, sans-serif"/>
        <b/>
        <color rgb="FF1155CC"/>
        <sz val="9.0"/>
        <u/>
      </rPr>
      <t>4:0</t>
    </r>
  </si>
  <si>
    <t>Sun 17/01/2016</t>
  </si>
  <si>
    <r>
      <rPr>
        <rFont val="&quot;Source Sans Pro&quot;, &quot;Source Sans Pro-fallback&quot;, sans-serif"/>
        <b/>
        <color rgb="FF1155CC"/>
        <sz val="9.0"/>
        <u/>
      </rPr>
      <t>Athletic Club</t>
    </r>
    <r>
      <rPr>
        <rFont val="&quot;Source Sans Pro&quot;, &quot;Source Sans Pro-fallback&quot;, sans-serif"/>
        <b/>
        <sz val="9.0"/>
      </rPr>
      <t xml:space="preserve"> (8.)</t>
    </r>
  </si>
  <si>
    <r>
      <rPr>
        <rFont val="&quot;Source Sans Pro&quot;, &quot;Source Sans Pro-fallback&quot;, sans-serif"/>
        <b/>
        <color rgb="FF1155CC"/>
        <sz val="9.0"/>
        <u/>
      </rPr>
      <t>6:0</t>
    </r>
  </si>
  <si>
    <t>Sat 23/01/2016</t>
  </si>
  <si>
    <r>
      <rPr>
        <rFont val="&quot;Source Sans Pro&quot;, &quot;Source Sans Pro-fallback&quot;, sans-serif"/>
        <b/>
        <color rgb="FF1155CC"/>
        <sz val="9.0"/>
        <u/>
      </rPr>
      <t>Málaga CF</t>
    </r>
    <r>
      <rPr>
        <rFont val="&quot;Source Sans Pro&quot;, &quot;Source Sans Pro-fallback&quot;, sans-serif"/>
        <b/>
        <sz val="9.0"/>
      </rPr>
      <t xml:space="preserve"> (12.)</t>
    </r>
  </si>
  <si>
    <r>
      <rPr>
        <rFont val="&quot;Source Sans Pro&quot;, &quot;Source Sans Pro-fallback&quot;, sans-serif"/>
        <b/>
        <color rgb="FF1155CC"/>
        <sz val="9.0"/>
        <u/>
      </rPr>
      <t>1:2</t>
    </r>
  </si>
  <si>
    <t>Sat 30/01/2016</t>
  </si>
  <si>
    <r>
      <rPr>
        <rFont val="&quot;Source Sans Pro&quot;, &quot;Source Sans Pro-fallback&quot;, sans-serif"/>
        <b/>
        <color rgb="FF1155CC"/>
        <sz val="9.0"/>
        <u/>
      </rPr>
      <t>Atlético</t>
    </r>
    <r>
      <rPr>
        <rFont val="&quot;Source Sans Pro&quot;, &quot;Source Sans Pro-fallback&quot;, sans-serif"/>
        <b/>
        <sz val="9.0"/>
      </rPr>
      <t xml:space="preserve"> (2.)</t>
    </r>
  </si>
  <si>
    <r>
      <rPr>
        <rFont val="&quot;Source Sans Pro&quot;, &quot;Source Sans Pro-fallback&quot;, sans-serif"/>
        <b/>
        <color rgb="FF1155CC"/>
        <sz val="9.0"/>
        <u/>
      </rPr>
      <t>2:1</t>
    </r>
  </si>
  <si>
    <t>Sun 07/02/2016</t>
  </si>
  <si>
    <r>
      <rPr>
        <rFont val="&quot;Source Sans Pro&quot;, &quot;Source Sans Pro-fallback&quot;, sans-serif"/>
        <b/>
        <color rgb="FF1155CC"/>
        <sz val="9.0"/>
        <u/>
      </rPr>
      <t>Levante</t>
    </r>
    <r>
      <rPr>
        <rFont val="&quot;Source Sans Pro&quot;, &quot;Source Sans Pro-fallback&quot;, sans-serif"/>
        <b/>
        <sz val="9.0"/>
      </rPr>
      <t xml:space="preserve"> (20.)</t>
    </r>
  </si>
  <si>
    <r>
      <rPr>
        <rFont val="&quot;Source Sans Pro&quot;, &quot;Source Sans Pro-fallback&quot;, sans-serif"/>
        <b/>
        <color rgb="FF1155CC"/>
        <sz val="9.0"/>
        <u/>
      </rPr>
      <t>0:2</t>
    </r>
  </si>
  <si>
    <t>Sun 14/02/2016</t>
  </si>
  <si>
    <r>
      <rPr>
        <rFont val="&quot;Source Sans Pro&quot;, &quot;Source Sans Pro-fallback&quot;, sans-serif"/>
        <b/>
        <color rgb="FF1155CC"/>
        <sz val="9.0"/>
        <u/>
      </rPr>
      <t>Celta de Vigo</t>
    </r>
    <r>
      <rPr>
        <rFont val="&quot;Source Sans Pro&quot;, &quot;Source Sans Pro-fallback&quot;, sans-serif"/>
        <b/>
        <sz val="9.0"/>
      </rPr>
      <t xml:space="preserve"> (7.)</t>
    </r>
  </si>
  <si>
    <r>
      <rPr>
        <rFont val="&quot;Source Sans Pro&quot;, &quot;Source Sans Pro-fallback&quot;, sans-serif"/>
        <b/>
        <color rgb="FF1155CC"/>
        <sz val="9.0"/>
        <u/>
      </rPr>
      <t>6:1</t>
    </r>
  </si>
  <si>
    <t>Sat 20/02/2016</t>
  </si>
  <si>
    <r>
      <rPr>
        <rFont val="&quot;Source Sans Pro&quot;, &quot;Source Sans Pro-fallback&quot;, sans-serif"/>
        <b/>
        <color rgb="FF1155CC"/>
        <sz val="9.0"/>
        <u/>
      </rPr>
      <t>UD Las Palmas</t>
    </r>
    <r>
      <rPr>
        <rFont val="&quot;Source Sans Pro&quot;, &quot;Source Sans Pro-fallback&quot;, sans-serif"/>
        <b/>
        <sz val="9.0"/>
      </rPr>
      <t xml:space="preserve"> (18.)</t>
    </r>
  </si>
  <si>
    <r>
      <rPr>
        <rFont val="&quot;Source Sans Pro&quot;, &quot;Source Sans Pro-fallback&quot;, sans-serif"/>
        <b/>
        <color rgb="FF1155CC"/>
        <sz val="9.0"/>
        <u/>
      </rPr>
      <t>1:2</t>
    </r>
  </si>
  <si>
    <t>Sun 28/02/2016</t>
  </si>
  <si>
    <r>
      <rPr>
        <rFont val="&quot;Source Sans Pro&quot;, &quot;Source Sans Pro-fallback&quot;, sans-serif"/>
        <b/>
        <color rgb="FF1155CC"/>
        <sz val="9.0"/>
        <u/>
      </rPr>
      <t>Sevilla FC</t>
    </r>
    <r>
      <rPr>
        <rFont val="&quot;Source Sans Pro&quot;, &quot;Source Sans Pro-fallback&quot;, sans-serif"/>
        <b/>
        <sz val="9.0"/>
      </rPr>
      <t xml:space="preserve"> (5.)</t>
    </r>
  </si>
  <si>
    <r>
      <rPr>
        <rFont val="&quot;Source Sans Pro&quot;, &quot;Source Sans Pro-fallback&quot;, sans-serif"/>
        <b/>
        <color rgb="FF1155CC"/>
        <sz val="9.0"/>
        <u/>
      </rPr>
      <t>2:1</t>
    </r>
  </si>
  <si>
    <t>Thu 03/03/2016</t>
  </si>
  <si>
    <r>
      <rPr>
        <rFont val="&quot;Source Sans Pro&quot;, &quot;Source Sans Pro-fallback&quot;, sans-serif"/>
        <b/>
        <color rgb="FF1155CC"/>
        <sz val="9.0"/>
        <u/>
      </rPr>
      <t>Rayo Vallecano</t>
    </r>
    <r>
      <rPr>
        <rFont val="&quot;Source Sans Pro&quot;, &quot;Source Sans Pro-fallback&quot;, sans-serif"/>
        <b/>
        <sz val="9.0"/>
      </rPr>
      <t xml:space="preserve"> (16.)</t>
    </r>
  </si>
  <si>
    <r>
      <rPr>
        <rFont val="&quot;Source Sans Pro&quot;, &quot;Source Sans Pro-fallback&quot;, sans-serif"/>
        <b/>
        <color rgb="FF1155CC"/>
        <sz val="9.0"/>
        <u/>
      </rPr>
      <t>1:5</t>
    </r>
  </si>
  <si>
    <t>Sun 06/03/2016</t>
  </si>
  <si>
    <r>
      <rPr>
        <rFont val="&quot;Source Sans Pro&quot;, &quot;Source Sans Pro-fallback&quot;, sans-serif"/>
        <b/>
        <color rgb="FF1155CC"/>
        <sz val="9.0"/>
        <u/>
      </rPr>
      <t>SD Eibar</t>
    </r>
    <r>
      <rPr>
        <rFont val="&quot;Source Sans Pro&quot;, &quot;Source Sans Pro-fallback&quot;, sans-serif"/>
        <b/>
        <sz val="9.0"/>
      </rPr>
      <t xml:space="preserve"> (8.)</t>
    </r>
  </si>
  <si>
    <r>
      <rPr>
        <rFont val="&quot;Source Sans Pro&quot;, &quot;Source Sans Pro-fallback&quot;, sans-serif"/>
        <b/>
        <color rgb="FF1155CC"/>
        <sz val="9.0"/>
        <u/>
      </rPr>
      <t>0:4</t>
    </r>
  </si>
  <si>
    <t>Sat 12/03/2016</t>
  </si>
  <si>
    <r>
      <rPr>
        <rFont val="&quot;Source Sans Pro&quot;, &quot;Source Sans Pro-fallback&quot;, sans-serif"/>
        <b/>
        <color rgb="FF1155CC"/>
        <sz val="9.0"/>
        <u/>
      </rPr>
      <t>Getafe</t>
    </r>
    <r>
      <rPr>
        <rFont val="&quot;Source Sans Pro&quot;, &quot;Source Sans Pro-fallback&quot;, sans-serif"/>
        <b/>
        <sz val="9.0"/>
      </rPr>
      <t xml:space="preserve"> (16.)</t>
    </r>
  </si>
  <si>
    <r>
      <rPr>
        <rFont val="&quot;Source Sans Pro&quot;, &quot;Source Sans Pro-fallback&quot;, sans-serif"/>
        <b/>
        <color rgb="FF1155CC"/>
        <sz val="9.0"/>
        <u/>
      </rPr>
      <t>6:0</t>
    </r>
  </si>
  <si>
    <t>Sun 20/03/2016</t>
  </si>
  <si>
    <r>
      <rPr>
        <rFont val="&quot;Source Sans Pro&quot;, &quot;Source Sans Pro-fallback&quot;, sans-serif"/>
        <b/>
        <color rgb="FF1155CC"/>
        <sz val="9.0"/>
        <u/>
      </rPr>
      <t>Villarreal</t>
    </r>
    <r>
      <rPr>
        <rFont val="&quot;Source Sans Pro&quot;, &quot;Source Sans Pro-fallback&quot;, sans-serif"/>
        <b/>
        <sz val="9.0"/>
      </rPr>
      <t xml:space="preserve"> (4.)</t>
    </r>
  </si>
  <si>
    <r>
      <rPr>
        <rFont val="&quot;Source Sans Pro&quot;, &quot;Source Sans Pro-fallback&quot;, sans-serif"/>
        <b/>
        <color rgb="FF1155CC"/>
        <sz val="9.0"/>
        <u/>
      </rPr>
      <t>2:2</t>
    </r>
  </si>
  <si>
    <t>Sat 02/04/2016</t>
  </si>
  <si>
    <r>
      <rPr>
        <rFont val="&quot;Source Sans Pro&quot;, &quot;Source Sans Pro-fallback&quot;, sans-serif"/>
        <b/>
        <color rgb="FF1155CC"/>
        <sz val="9.0"/>
        <u/>
      </rPr>
      <t>Real Madrid</t>
    </r>
    <r>
      <rPr>
        <rFont val="&quot;Source Sans Pro&quot;, &quot;Source Sans Pro-fallback&quot;, sans-serif"/>
        <b/>
        <sz val="9.0"/>
      </rPr>
      <t xml:space="preserve"> (3.)</t>
    </r>
  </si>
  <si>
    <r>
      <rPr>
        <rFont val="&quot;Source Sans Pro&quot;, &quot;Source Sans Pro-fallback&quot;, sans-serif"/>
        <b/>
        <color rgb="FF1155CC"/>
        <sz val="9.0"/>
        <u/>
      </rPr>
      <t>1:2</t>
    </r>
  </si>
  <si>
    <t>Sat 09/04/2016</t>
  </si>
  <si>
    <r>
      <rPr>
        <rFont val="&quot;Source Sans Pro&quot;, &quot;Source Sans Pro-fallback&quot;, sans-serif"/>
        <b/>
        <color rgb="FF1155CC"/>
        <sz val="9.0"/>
        <u/>
      </rPr>
      <t>Real Sociedad</t>
    </r>
    <r>
      <rPr>
        <rFont val="&quot;Source Sans Pro&quot;, &quot;Source Sans Pro-fallback&quot;, sans-serif"/>
        <b/>
        <sz val="9.0"/>
      </rPr>
      <t xml:space="preserve"> (9.)</t>
    </r>
  </si>
  <si>
    <r>
      <rPr>
        <rFont val="&quot;Source Sans Pro&quot;, &quot;Source Sans Pro-fallback&quot;, sans-serif"/>
        <b/>
        <color rgb="FF1155CC"/>
        <sz val="9.0"/>
        <u/>
      </rPr>
      <t>1:0</t>
    </r>
  </si>
  <si>
    <t>Sun 17/04/2016</t>
  </si>
  <si>
    <r>
      <rPr>
        <rFont val="&quot;Source Sans Pro&quot;, &quot;Source Sans Pro-fallback&quot;, sans-serif"/>
        <b/>
        <color rgb="FF1155CC"/>
        <sz val="9.0"/>
        <u/>
      </rPr>
      <t>Valencia</t>
    </r>
    <r>
      <rPr>
        <rFont val="&quot;Source Sans Pro&quot;, &quot;Source Sans Pro-fallback&quot;, sans-serif"/>
        <b/>
        <sz val="9.0"/>
      </rPr>
      <t xml:space="preserve"> (14.)</t>
    </r>
  </si>
  <si>
    <r>
      <rPr>
        <rFont val="&quot;Source Sans Pro&quot;, &quot;Source Sans Pro-fallback&quot;, sans-serif"/>
        <b/>
        <color rgb="FF1155CC"/>
        <sz val="9.0"/>
        <u/>
      </rPr>
      <t>1:2</t>
    </r>
  </si>
  <si>
    <t>Wed 20/04/2016</t>
  </si>
  <si>
    <r>
      <rPr>
        <rFont val="&quot;Source Sans Pro&quot;, &quot;Source Sans Pro-fallback&quot;, sans-serif"/>
        <b/>
        <color rgb="FF1155CC"/>
        <sz val="9.0"/>
        <u/>
      </rPr>
      <t>Dep. La Coruña</t>
    </r>
    <r>
      <rPr>
        <rFont val="&quot;Source Sans Pro&quot;, &quot;Source Sans Pro-fallback&quot;, sans-serif"/>
        <b/>
        <sz val="9.0"/>
      </rPr>
      <t xml:space="preserve"> (13.)</t>
    </r>
  </si>
  <si>
    <r>
      <rPr>
        <rFont val="&quot;Source Sans Pro&quot;, &quot;Source Sans Pro-fallback&quot;, sans-serif"/>
        <b/>
        <color rgb="FF1155CC"/>
        <sz val="9.0"/>
        <u/>
      </rPr>
      <t>0:8</t>
    </r>
  </si>
  <si>
    <t>Sat 23/04/2016</t>
  </si>
  <si>
    <r>
      <rPr>
        <rFont val="&quot;Source Sans Pro&quot;, &quot;Source Sans Pro-fallback&quot;, sans-serif"/>
        <b/>
        <color rgb="FF1155CC"/>
        <sz val="9.0"/>
        <u/>
      </rPr>
      <t>Sporting Gijón</t>
    </r>
    <r>
      <rPr>
        <rFont val="&quot;Source Sans Pro&quot;, &quot;Source Sans Pro-fallback&quot;, sans-serif"/>
        <b/>
        <sz val="9.0"/>
      </rPr>
      <t xml:space="preserve"> (18.)</t>
    </r>
  </si>
  <si>
    <r>
      <rPr>
        <rFont val="&quot;Source Sans Pro&quot;, &quot;Source Sans Pro-fallback&quot;, sans-serif"/>
        <b/>
        <color rgb="FF1155CC"/>
        <sz val="9.0"/>
        <u/>
      </rPr>
      <t>6:0</t>
    </r>
  </si>
  <si>
    <t>Sat 30/04/2016</t>
  </si>
  <si>
    <r>
      <rPr>
        <rFont val="&quot;Source Sans Pro&quot;, &quot;Source Sans Pro-fallback&quot;, sans-serif"/>
        <b/>
        <color rgb="FF1155CC"/>
        <sz val="9.0"/>
        <u/>
      </rPr>
      <t>Real Betis</t>
    </r>
    <r>
      <rPr>
        <rFont val="&quot;Source Sans Pro&quot;, &quot;Source Sans Pro-fallback&quot;, sans-serif"/>
        <b/>
        <sz val="9.0"/>
      </rPr>
      <t xml:space="preserve"> (13.)</t>
    </r>
  </si>
  <si>
    <r>
      <rPr>
        <rFont val="&quot;Source Sans Pro&quot;, &quot;Source Sans Pro-fallback&quot;, sans-serif"/>
        <b/>
        <color rgb="FF1155CC"/>
        <sz val="9.0"/>
        <u/>
      </rPr>
      <t>0:2</t>
    </r>
  </si>
  <si>
    <t>Sun 08/05/2016</t>
  </si>
  <si>
    <r>
      <rPr>
        <rFont val="&quot;Source Sans Pro&quot;, &quot;Source Sans Pro-fallback&quot;, sans-serif"/>
        <b/>
        <color rgb="FF1155CC"/>
        <sz val="9.0"/>
        <u/>
      </rPr>
      <t>Espanyol</t>
    </r>
    <r>
      <rPr>
        <rFont val="&quot;Source Sans Pro&quot;, &quot;Source Sans Pro-fallback&quot;, sans-serif"/>
        <b/>
        <sz val="9.0"/>
      </rPr>
      <t xml:space="preserve"> (14.)</t>
    </r>
  </si>
  <si>
    <r>
      <rPr>
        <rFont val="&quot;Source Sans Pro&quot;, &quot;Source Sans Pro-fallback&quot;, sans-serif"/>
        <b/>
        <color rgb="FF1155CC"/>
        <sz val="9.0"/>
        <u/>
      </rPr>
      <t>5:0</t>
    </r>
  </si>
  <si>
    <t>Sat 14/05/2016</t>
  </si>
  <si>
    <r>
      <rPr>
        <rFont val="&quot;Source Sans Pro&quot;, &quot;Source Sans Pro-fallback&quot;, sans-serif"/>
        <b/>
        <color rgb="FF1155CC"/>
        <sz val="9.0"/>
        <u/>
      </rPr>
      <t>Granada CF</t>
    </r>
    <r>
      <rPr>
        <rFont val="&quot;Source Sans Pro&quot;, &quot;Source Sans Pro-fallback&quot;, sans-serif"/>
        <b/>
        <sz val="9.0"/>
      </rPr>
      <t xml:space="preserve"> (16.)</t>
    </r>
  </si>
  <si>
    <t>0:3</t>
  </si>
  <si>
    <t>Wed 16/09/2015</t>
  </si>
  <si>
    <r>
      <rPr>
        <rFont val="&quot;Source Sans Pro&quot;, &quot;Source Sans Pro-fallback&quot;, sans-serif"/>
        <b/>
        <color rgb="FF1155CC"/>
        <sz val="9.0"/>
        <u/>
      </rPr>
      <t>Roma</t>
    </r>
  </si>
  <si>
    <r>
      <rPr>
        <rFont val="&quot;Source Sans Pro&quot;, &quot;Source Sans Pro-fallback&quot;, sans-serif"/>
        <b/>
        <color rgb="FF1155CC"/>
        <sz val="9.0"/>
        <u/>
      </rPr>
      <t>1:1</t>
    </r>
  </si>
  <si>
    <t>Tue 29/09/2015</t>
  </si>
  <si>
    <r>
      <rPr>
        <rFont val="&quot;Source Sans Pro&quot;, &quot;Source Sans Pro-fallback&quot;, sans-serif"/>
        <b/>
        <color rgb="FF1155CC"/>
        <sz val="9.0"/>
        <u/>
      </rPr>
      <t>Leverkusen</t>
    </r>
  </si>
  <si>
    <r>
      <rPr>
        <rFont val="&quot;Source Sans Pro&quot;, &quot;Source Sans Pro-fallback&quot;, sans-serif"/>
        <b/>
        <color rgb="FF1155CC"/>
        <sz val="9.0"/>
        <u/>
      </rPr>
      <t>2:1</t>
    </r>
  </si>
  <si>
    <t>Tue 20/10/2015</t>
  </si>
  <si>
    <r>
      <rPr>
        <rFont val="&quot;Source Sans Pro&quot;, &quot;Source Sans Pro-fallback&quot;, sans-serif"/>
        <b/>
        <color rgb="FF1155CC"/>
        <sz val="9.0"/>
        <u/>
      </rPr>
      <t>BATE Borisov</t>
    </r>
  </si>
  <si>
    <r>
      <rPr>
        <rFont val="&quot;Source Sans Pro&quot;, &quot;Source Sans Pro-fallback&quot;, sans-serif"/>
        <b/>
        <color rgb="FF1155CC"/>
        <sz val="9.0"/>
        <u/>
      </rPr>
      <t>0:2</t>
    </r>
  </si>
  <si>
    <t>Wed 04/11/2015</t>
  </si>
  <si>
    <r>
      <rPr>
        <rFont val="&quot;Source Sans Pro&quot;, &quot;Source Sans Pro-fallback&quot;, sans-serif"/>
        <b/>
        <color rgb="FF1155CC"/>
        <sz val="9.0"/>
        <u/>
      </rPr>
      <t>BATE Borisov</t>
    </r>
  </si>
  <si>
    <r>
      <rPr>
        <rFont val="&quot;Source Sans Pro&quot;, &quot;Source Sans Pro-fallback&quot;, sans-serif"/>
        <b/>
        <color rgb="FF1155CC"/>
        <sz val="9.0"/>
        <u/>
      </rPr>
      <t>3:0</t>
    </r>
  </si>
  <si>
    <t>Tue 24/11/2015</t>
  </si>
  <si>
    <r>
      <rPr>
        <rFont val="&quot;Source Sans Pro&quot;, &quot;Source Sans Pro-fallback&quot;, sans-serif"/>
        <b/>
        <color rgb="FF1155CC"/>
        <sz val="9.0"/>
        <u/>
      </rPr>
      <t>Roma</t>
    </r>
  </si>
  <si>
    <r>
      <rPr>
        <rFont val="&quot;Source Sans Pro&quot;, &quot;Source Sans Pro-fallback&quot;, sans-serif"/>
        <b/>
        <color rgb="FF1155CC"/>
        <sz val="9.0"/>
        <u/>
      </rPr>
      <t>6:1</t>
    </r>
  </si>
  <si>
    <t>Wed 09/12/2015</t>
  </si>
  <si>
    <r>
      <rPr>
        <rFont val="&quot;Source Sans Pro&quot;, &quot;Source Sans Pro-fallback&quot;, sans-serif"/>
        <b/>
        <color rgb="FF1155CC"/>
        <sz val="9.0"/>
        <u/>
      </rPr>
      <t>Leverkusen</t>
    </r>
  </si>
  <si>
    <r>
      <rPr>
        <rFont val="&quot;Source Sans Pro&quot;, &quot;Source Sans Pro-fallback&quot;, sans-serif"/>
        <b/>
        <color rgb="FF1155CC"/>
        <sz val="9.0"/>
        <u/>
      </rPr>
      <t>1:1</t>
    </r>
  </si>
  <si>
    <t>Tue 23/02/2016</t>
  </si>
  <si>
    <r>
      <rPr>
        <rFont val="&quot;Source Sans Pro&quot;, &quot;Source Sans Pro-fallback&quot;, sans-serif"/>
        <b/>
        <color rgb="FF1155CC"/>
        <sz val="9.0"/>
        <u/>
      </rPr>
      <t>Arsenal</t>
    </r>
  </si>
  <si>
    <r>
      <rPr>
        <rFont val="&quot;Source Sans Pro&quot;, &quot;Source Sans Pro-fallback&quot;, sans-serif"/>
        <b/>
        <color rgb="FF1155CC"/>
        <sz val="9.0"/>
        <u/>
      </rPr>
      <t>0:2</t>
    </r>
  </si>
  <si>
    <t>Wed 16/03/2016</t>
  </si>
  <si>
    <r>
      <rPr>
        <rFont val="&quot;Source Sans Pro&quot;, &quot;Source Sans Pro-fallback&quot;, sans-serif"/>
        <b/>
        <color rgb="FF1155CC"/>
        <sz val="9.0"/>
        <u/>
      </rPr>
      <t>Arsenal</t>
    </r>
  </si>
  <si>
    <r>
      <rPr>
        <rFont val="&quot;Source Sans Pro&quot;, &quot;Source Sans Pro-fallback&quot;, sans-serif"/>
        <b/>
        <color rgb="FF1155CC"/>
        <sz val="9.0"/>
        <u/>
      </rPr>
      <t>3:1</t>
    </r>
  </si>
  <si>
    <t>Tue 05/04/2016</t>
  </si>
  <si>
    <r>
      <rPr>
        <rFont val="&quot;Source Sans Pro&quot;, &quot;Source Sans Pro-fallback&quot;, sans-serif"/>
        <b/>
        <color rgb="FF1155CC"/>
        <sz val="9.0"/>
        <u/>
      </rPr>
      <t>Atlético</t>
    </r>
  </si>
  <si>
    <r>
      <rPr>
        <rFont val="&quot;Source Sans Pro&quot;, &quot;Source Sans Pro-fallback&quot;, sans-serif"/>
        <b/>
        <color rgb="FF1155CC"/>
        <sz val="9.0"/>
        <u/>
      </rPr>
      <t>2:1</t>
    </r>
  </si>
  <si>
    <t>Wed 13/04/2016</t>
  </si>
  <si>
    <r>
      <rPr>
        <rFont val="&quot;Source Sans Pro&quot;, &quot;Source Sans Pro-fallback&quot;, sans-serif"/>
        <b/>
        <color rgb="FF1155CC"/>
        <sz val="9.0"/>
        <u/>
      </rPr>
      <t>Atlético</t>
    </r>
  </si>
  <si>
    <r>
      <rPr>
        <rFont val="&quot;Source Sans Pro&quot;, &quot;Source Sans Pro-fallback&quot;, sans-serif"/>
        <b/>
        <color rgb="FF1155CC"/>
        <sz val="9.0"/>
        <u/>
      </rPr>
      <t>2:0</t>
    </r>
  </si>
  <si>
    <t>4th round 1st leg</t>
  </si>
  <si>
    <t>Wed 28/10/2015</t>
  </si>
  <si>
    <r>
      <rPr>
        <rFont val="&quot;Source Sans Pro&quot;, &quot;Source Sans Pro-fallback&quot;, sans-serif"/>
        <b/>
        <color rgb="FF1155CC"/>
        <sz val="9.0"/>
        <u/>
      </rPr>
      <t>Villanovense</t>
    </r>
  </si>
  <si>
    <r>
      <rPr>
        <rFont val="&quot;Source Sans Pro&quot;, &quot;Source Sans Pro-fallback&quot;, sans-serif"/>
        <b/>
        <color rgb="FF1155CC"/>
        <sz val="9.0"/>
        <u/>
      </rPr>
      <t>0:0</t>
    </r>
  </si>
  <si>
    <t>4th round 2nd leg</t>
  </si>
  <si>
    <t>Wed 02/12/2015</t>
  </si>
  <si>
    <r>
      <rPr>
        <rFont val="&quot;Source Sans Pro&quot;, &quot;Source Sans Pro-fallback&quot;, sans-serif"/>
        <b/>
        <color rgb="FF1155CC"/>
        <sz val="9.0"/>
        <u/>
      </rPr>
      <t>Villanovense</t>
    </r>
  </si>
  <si>
    <r>
      <rPr>
        <rFont val="&quot;Source Sans Pro&quot;, &quot;Source Sans Pro-fallback&quot;, sans-serif"/>
        <b/>
        <color rgb="FF1155CC"/>
        <sz val="9.0"/>
        <u/>
      </rPr>
      <t>6:1</t>
    </r>
  </si>
  <si>
    <t>Wed 06/01/2016</t>
  </si>
  <si>
    <r>
      <rPr>
        <rFont val="&quot;Source Sans Pro&quot;, &quot;Source Sans Pro-fallback&quot;, sans-serif"/>
        <b/>
        <color rgb="FF1155CC"/>
        <sz val="9.0"/>
        <u/>
      </rPr>
      <t>Espanyol</t>
    </r>
  </si>
  <si>
    <r>
      <rPr>
        <rFont val="&quot;Source Sans Pro&quot;, &quot;Source Sans Pro-fallback&quot;, sans-serif"/>
        <b/>
        <color rgb="FF1155CC"/>
        <sz val="9.0"/>
        <u/>
      </rPr>
      <t>4:1</t>
    </r>
  </si>
  <si>
    <t>Wed 13/01/2016</t>
  </si>
  <si>
    <r>
      <rPr>
        <rFont val="&quot;Source Sans Pro&quot;, &quot;Source Sans Pro-fallback&quot;, sans-serif"/>
        <b/>
        <color rgb="FF1155CC"/>
        <sz val="9.0"/>
        <u/>
      </rPr>
      <t>Espanyol</t>
    </r>
  </si>
  <si>
    <r>
      <rPr>
        <rFont val="&quot;Source Sans Pro&quot;, &quot;Source Sans Pro-fallback&quot;, sans-serif"/>
        <b/>
        <color rgb="FF1155CC"/>
        <sz val="9.0"/>
        <u/>
      </rPr>
      <t>0:2</t>
    </r>
  </si>
  <si>
    <t>Wed 20/01/2016</t>
  </si>
  <si>
    <r>
      <rPr>
        <rFont val="&quot;Source Sans Pro&quot;, &quot;Source Sans Pro-fallback&quot;, sans-serif"/>
        <b/>
        <color rgb="FF1155CC"/>
        <sz val="9.0"/>
        <u/>
      </rPr>
      <t>Athletic Club</t>
    </r>
  </si>
  <si>
    <r>
      <rPr>
        <rFont val="&quot;Source Sans Pro&quot;, &quot;Source Sans Pro-fallback&quot;, sans-serif"/>
        <b/>
        <color rgb="FF1155CC"/>
        <sz val="9.0"/>
        <u/>
      </rPr>
      <t>1:2</t>
    </r>
  </si>
  <si>
    <t>Wed 27/01/2016</t>
  </si>
  <si>
    <r>
      <rPr>
        <rFont val="&quot;Source Sans Pro&quot;, &quot;Source Sans Pro-fallback&quot;, sans-serif"/>
        <b/>
        <color rgb="FF1155CC"/>
        <sz val="9.0"/>
        <u/>
      </rPr>
      <t>Athletic Club</t>
    </r>
  </si>
  <si>
    <r>
      <rPr>
        <rFont val="&quot;Source Sans Pro&quot;, &quot;Source Sans Pro-fallback&quot;, sans-serif"/>
        <b/>
        <color rgb="FF1155CC"/>
        <sz val="9.0"/>
        <u/>
      </rPr>
      <t>3:1</t>
    </r>
  </si>
  <si>
    <t>Wed 03/02/2016</t>
  </si>
  <si>
    <r>
      <rPr>
        <rFont val="&quot;Source Sans Pro&quot;, &quot;Source Sans Pro-fallback&quot;, sans-serif"/>
        <b/>
        <color rgb="FF1155CC"/>
        <sz val="9.0"/>
        <u/>
      </rPr>
      <t>Valencia</t>
    </r>
  </si>
  <si>
    <r>
      <rPr>
        <rFont val="&quot;Source Sans Pro&quot;, &quot;Source Sans Pro-fallback&quot;, sans-serif"/>
        <b/>
        <color rgb="FF1155CC"/>
        <sz val="9.0"/>
        <u/>
      </rPr>
      <t>7:0</t>
    </r>
  </si>
  <si>
    <t>Wed 10/02/2016</t>
  </si>
  <si>
    <r>
      <rPr>
        <rFont val="&quot;Source Sans Pro&quot;, &quot;Source Sans Pro-fallback&quot;, sans-serif"/>
        <b/>
        <color rgb="FF1155CC"/>
        <sz val="9.0"/>
        <u/>
      </rPr>
      <t>Valencia</t>
    </r>
  </si>
  <si>
    <r>
      <rPr>
        <rFont val="&quot;Source Sans Pro&quot;, &quot;Source Sans Pro-fallback&quot;, sans-serif"/>
        <b/>
        <color rgb="FF1155CC"/>
        <sz val="9.0"/>
        <u/>
      </rPr>
      <t>1:1</t>
    </r>
  </si>
  <si>
    <t>Sun 22/05/2016</t>
  </si>
  <si>
    <r>
      <rPr>
        <rFont val="&quot;Source Sans Pro&quot;, &quot;Source Sans Pro-fallback&quot;, sans-serif"/>
        <b/>
        <color rgb="FF1155CC"/>
        <sz val="9.0"/>
        <u/>
      </rPr>
      <t>Sevilla FC</t>
    </r>
  </si>
  <si>
    <r>
      <rPr>
        <rFont val="&quot;Source Sans Pro&quot;, &quot;Source Sans Pro-fallback&quot;, sans-serif"/>
        <b/>
        <color rgb="FF1155CC"/>
        <sz val="9.0"/>
        <u/>
      </rPr>
      <t>2:0</t>
    </r>
    <r>
      <rPr>
        <rFont val="&quot;Source Sans Pro&quot;, &quot;Source Sans Pro-fallback&quot;, sans-serif"/>
        <b/>
        <sz val="9.0"/>
      </rPr>
      <t xml:space="preserve"> AET</t>
    </r>
  </si>
  <si>
    <t>Sun 24/08/2014</t>
  </si>
  <si>
    <r>
      <rPr>
        <rFont val="&quot;Source Sans Pro&quot;, &quot;Source Sans Pro-fallback&quot;, sans-serif"/>
        <b/>
        <color rgb="FF1155CC"/>
        <sz val="9.0"/>
        <u/>
      </rPr>
      <t>Elche CF</t>
    </r>
    <r>
      <rPr>
        <rFont val="&quot;Source Sans Pro&quot;, &quot;Source Sans Pro-fallback&quot;, sans-serif"/>
        <b/>
        <sz val="9.0"/>
      </rPr>
      <t xml:space="preserve"> (13.)</t>
    </r>
  </si>
  <si>
    <r>
      <rPr>
        <rFont val="&quot;Source Sans Pro&quot;, &quot;Source Sans Pro-fallback&quot;, sans-serif"/>
        <b/>
        <color rgb="FF1155CC"/>
        <sz val="9.0"/>
        <u/>
      </rPr>
      <t>3:0</t>
    </r>
  </si>
  <si>
    <t>14/15</t>
  </si>
  <si>
    <t>Sun 31/08/2014</t>
  </si>
  <si>
    <r>
      <rPr>
        <rFont val="&quot;Source Sans Pro&quot;, &quot;Source Sans Pro-fallback&quot;, sans-serif"/>
        <b/>
        <color rgb="FF1155CC"/>
        <sz val="9.0"/>
        <u/>
      </rPr>
      <t>Villarreal</t>
    </r>
    <r>
      <rPr>
        <rFont val="&quot;Source Sans Pro&quot;, &quot;Source Sans Pro-fallback&quot;, sans-serif"/>
        <b/>
        <sz val="9.0"/>
      </rPr>
      <t xml:space="preserve"> (4.)</t>
    </r>
  </si>
  <si>
    <r>
      <rPr>
        <rFont val="&quot;Source Sans Pro&quot;, &quot;Source Sans Pro-fallback&quot;, sans-serif"/>
        <b/>
        <color rgb="FF1155CC"/>
        <sz val="9.0"/>
        <u/>
      </rPr>
      <t>0:1</t>
    </r>
  </si>
  <si>
    <t>Sat 13/09/2014</t>
  </si>
  <si>
    <r>
      <rPr>
        <rFont val="&quot;Source Sans Pro&quot;, &quot;Source Sans Pro-fallback&quot;, sans-serif"/>
        <b/>
        <color rgb="FF1155CC"/>
        <sz val="9.0"/>
        <u/>
      </rPr>
      <t>Athletic Club</t>
    </r>
    <r>
      <rPr>
        <rFont val="&quot;Source Sans Pro&quot;, &quot;Source Sans Pro-fallback&quot;, sans-serif"/>
        <b/>
        <sz val="9.0"/>
      </rPr>
      <t xml:space="preserve"> (10.)</t>
    </r>
  </si>
  <si>
    <r>
      <rPr>
        <rFont val="&quot;Source Sans Pro&quot;, &quot;Source Sans Pro-fallback&quot;, sans-serif"/>
        <b/>
        <color rgb="FF1155CC"/>
        <sz val="9.0"/>
        <u/>
      </rPr>
      <t>2:0</t>
    </r>
  </si>
  <si>
    <t>Sun 21/09/2014</t>
  </si>
  <si>
    <r>
      <rPr>
        <rFont val="&quot;Source Sans Pro&quot;, &quot;Source Sans Pro-fallback&quot;, sans-serif"/>
        <b/>
        <color rgb="FF1155CC"/>
        <sz val="9.0"/>
        <u/>
      </rPr>
      <t>Levante</t>
    </r>
    <r>
      <rPr>
        <rFont val="&quot;Source Sans Pro&quot;, &quot;Source Sans Pro-fallback&quot;, sans-serif"/>
        <b/>
        <sz val="9.0"/>
      </rPr>
      <t xml:space="preserve"> (19.)</t>
    </r>
  </si>
  <si>
    <r>
      <rPr>
        <rFont val="&quot;Source Sans Pro&quot;, &quot;Source Sans Pro-fallback&quot;, sans-serif"/>
        <b/>
        <color rgb="FF1155CC"/>
        <sz val="9.0"/>
        <u/>
      </rPr>
      <t>0:5</t>
    </r>
  </si>
  <si>
    <t>Wed 24/09/2014</t>
  </si>
  <si>
    <r>
      <rPr>
        <rFont val="&quot;Source Sans Pro&quot;, &quot;Source Sans Pro-fallback&quot;, sans-serif"/>
        <b/>
        <color rgb="FF1155CC"/>
        <sz val="9.0"/>
        <u/>
      </rPr>
      <t>Málaga CF</t>
    </r>
    <r>
      <rPr>
        <rFont val="&quot;Source Sans Pro&quot;, &quot;Source Sans Pro-fallback&quot;, sans-serif"/>
        <b/>
        <sz val="9.0"/>
      </rPr>
      <t xml:space="preserve"> (10.)</t>
    </r>
  </si>
  <si>
    <r>
      <rPr>
        <rFont val="&quot;Source Sans Pro&quot;, &quot;Source Sans Pro-fallback&quot;, sans-serif"/>
        <b/>
        <color rgb="FF1155CC"/>
        <sz val="9.0"/>
        <u/>
      </rPr>
      <t>0:0</t>
    </r>
  </si>
  <si>
    <t>Sat 27/09/2014</t>
  </si>
  <si>
    <r>
      <rPr>
        <rFont val="&quot;Source Sans Pro&quot;, &quot;Source Sans Pro-fallback&quot;, sans-serif"/>
        <b/>
        <color rgb="FF1155CC"/>
        <sz val="9.0"/>
        <u/>
      </rPr>
      <t>Granada CF</t>
    </r>
    <r>
      <rPr>
        <rFont val="&quot;Source Sans Pro&quot;, &quot;Source Sans Pro-fallback&quot;, sans-serif"/>
        <b/>
        <sz val="9.0"/>
      </rPr>
      <t xml:space="preserve"> (8.)</t>
    </r>
  </si>
  <si>
    <r>
      <rPr>
        <rFont val="&quot;Source Sans Pro&quot;, &quot;Source Sans Pro-fallback&quot;, sans-serif"/>
        <b/>
        <color rgb="FF1155CC"/>
        <sz val="9.0"/>
        <u/>
      </rPr>
      <t>6:0</t>
    </r>
  </si>
  <si>
    <t>Sat 04/10/2014</t>
  </si>
  <si>
    <r>
      <rPr>
        <rFont val="&quot;Source Sans Pro&quot;, &quot;Source Sans Pro-fallback&quot;, sans-serif"/>
        <b/>
        <color rgb="FF1155CC"/>
        <sz val="9.0"/>
        <u/>
      </rPr>
      <t>Rayo Vallecano</t>
    </r>
    <r>
      <rPr>
        <rFont val="&quot;Source Sans Pro&quot;, &quot;Source Sans Pro-fallback&quot;, sans-serif"/>
        <b/>
        <sz val="9.0"/>
      </rPr>
      <t xml:space="preserve"> (10.)</t>
    </r>
  </si>
  <si>
    <r>
      <rPr>
        <rFont val="&quot;Source Sans Pro&quot;, &quot;Source Sans Pro-fallback&quot;, sans-serif"/>
        <b/>
        <color rgb="FF1155CC"/>
        <sz val="9.0"/>
        <u/>
      </rPr>
      <t>0:2</t>
    </r>
  </si>
  <si>
    <t>Sat 18/10/2014</t>
  </si>
  <si>
    <r>
      <rPr>
        <rFont val="&quot;Source Sans Pro&quot;, &quot;Source Sans Pro-fallback&quot;, sans-serif"/>
        <b/>
        <color rgb="FF1155CC"/>
        <sz val="9.0"/>
        <u/>
      </rPr>
      <t>SD Eibar</t>
    </r>
    <r>
      <rPr>
        <rFont val="&quot;Source Sans Pro&quot;, &quot;Source Sans Pro-fallback&quot;, sans-serif"/>
        <b/>
        <sz val="9.0"/>
      </rPr>
      <t xml:space="preserve"> (10.)</t>
    </r>
  </si>
  <si>
    <r>
      <rPr>
        <rFont val="&quot;Source Sans Pro&quot;, &quot;Source Sans Pro-fallback&quot;, sans-serif"/>
        <b/>
        <color rgb="FF1155CC"/>
        <sz val="9.0"/>
        <u/>
      </rPr>
      <t>3:0</t>
    </r>
  </si>
  <si>
    <t>Sat 25/10/2014</t>
  </si>
  <si>
    <r>
      <rPr>
        <rFont val="&quot;Source Sans Pro&quot;, &quot;Source Sans Pro-fallback&quot;, sans-serif"/>
        <b/>
        <color rgb="FF1155CC"/>
        <sz val="9.0"/>
        <u/>
      </rPr>
      <t>Real Madrid</t>
    </r>
    <r>
      <rPr>
        <rFont val="&quot;Source Sans Pro&quot;, &quot;Source Sans Pro-fallback&quot;, sans-serif"/>
        <b/>
        <sz val="9.0"/>
      </rPr>
      <t xml:space="preserve"> (3.)</t>
    </r>
  </si>
  <si>
    <r>
      <rPr>
        <rFont val="&quot;Source Sans Pro&quot;, &quot;Source Sans Pro-fallback&quot;, sans-serif"/>
        <b/>
        <color rgb="FF1155CC"/>
        <sz val="9.0"/>
        <u/>
      </rPr>
      <t>3:1</t>
    </r>
  </si>
  <si>
    <t>Sat 01/11/2014</t>
  </si>
  <si>
    <r>
      <rPr>
        <rFont val="&quot;Source Sans Pro&quot;, &quot;Source Sans Pro-fallback&quot;, sans-serif"/>
        <b/>
        <color rgb="FF1155CC"/>
        <sz val="9.0"/>
        <u/>
      </rPr>
      <t>Celta de Vigo</t>
    </r>
    <r>
      <rPr>
        <rFont val="&quot;Source Sans Pro&quot;, &quot;Source Sans Pro-fallback&quot;, sans-serif"/>
        <b/>
        <sz val="9.0"/>
      </rPr>
      <t xml:space="preserve"> (6.)</t>
    </r>
  </si>
  <si>
    <r>
      <rPr>
        <rFont val="&quot;Source Sans Pro&quot;, &quot;Source Sans Pro-fallback&quot;, sans-serif"/>
        <b/>
        <color rgb="FF1155CC"/>
        <sz val="9.0"/>
        <u/>
      </rPr>
      <t>0:1</t>
    </r>
  </si>
  <si>
    <t>Sat 08/11/2014</t>
  </si>
  <si>
    <r>
      <rPr>
        <rFont val="&quot;Source Sans Pro&quot;, &quot;Source Sans Pro-fallback&quot;, sans-serif"/>
        <b/>
        <color rgb="FF1155CC"/>
        <sz val="9.0"/>
        <u/>
      </rPr>
      <t>UD Almería</t>
    </r>
    <r>
      <rPr>
        <rFont val="&quot;Source Sans Pro&quot;, &quot;Source Sans Pro-fallback&quot;, sans-serif"/>
        <b/>
        <sz val="9.0"/>
      </rPr>
      <t xml:space="preserve"> (18.)</t>
    </r>
  </si>
  <si>
    <r>
      <rPr>
        <rFont val="&quot;Source Sans Pro&quot;, &quot;Source Sans Pro-fallback&quot;, sans-serif"/>
        <b/>
        <color rgb="FF1155CC"/>
        <sz val="9.0"/>
        <u/>
      </rPr>
      <t>1:2</t>
    </r>
  </si>
  <si>
    <t>Sat 22/11/2014</t>
  </si>
  <si>
    <r>
      <rPr>
        <rFont val="&quot;Source Sans Pro&quot;, &quot;Source Sans Pro-fallback&quot;, sans-serif"/>
        <b/>
        <color rgb="FF1155CC"/>
        <sz val="9.0"/>
        <u/>
      </rPr>
      <t>Sevilla FC</t>
    </r>
    <r>
      <rPr>
        <rFont val="&quot;Source Sans Pro&quot;, &quot;Source Sans Pro-fallback&quot;, sans-serif"/>
        <b/>
        <sz val="9.0"/>
      </rPr>
      <t xml:space="preserve"> (5.)</t>
    </r>
  </si>
  <si>
    <r>
      <rPr>
        <rFont val="&quot;Source Sans Pro&quot;, &quot;Source Sans Pro-fallback&quot;, sans-serif"/>
        <b/>
        <color rgb="FF1155CC"/>
        <sz val="9.0"/>
        <u/>
      </rPr>
      <t>5:1</t>
    </r>
  </si>
  <si>
    <t>Sun 30/11/2014</t>
  </si>
  <si>
    <r>
      <rPr>
        <rFont val="&quot;Source Sans Pro&quot;, &quot;Source Sans Pro-fallback&quot;, sans-serif"/>
        <b/>
        <color rgb="FF1155CC"/>
        <sz val="9.0"/>
        <u/>
      </rPr>
      <t>Valencia</t>
    </r>
    <r>
      <rPr>
        <rFont val="&quot;Source Sans Pro&quot;, &quot;Source Sans Pro-fallback&quot;, sans-serif"/>
        <b/>
        <sz val="9.0"/>
      </rPr>
      <t xml:space="preserve"> (4.)</t>
    </r>
  </si>
  <si>
    <r>
      <rPr>
        <rFont val="&quot;Source Sans Pro&quot;, &quot;Source Sans Pro-fallback&quot;, sans-serif"/>
        <b/>
        <color rgb="FF1155CC"/>
        <sz val="9.0"/>
        <u/>
      </rPr>
      <t>0:1</t>
    </r>
  </si>
  <si>
    <t>Sun 07/12/2014</t>
  </si>
  <si>
    <r>
      <rPr>
        <rFont val="&quot;Source Sans Pro&quot;, &quot;Source Sans Pro-fallback&quot;, sans-serif"/>
        <b/>
        <color rgb="FF1155CC"/>
        <sz val="9.0"/>
        <u/>
      </rPr>
      <t>Espanyol</t>
    </r>
    <r>
      <rPr>
        <rFont val="&quot;Source Sans Pro&quot;, &quot;Source Sans Pro-fallback&quot;, sans-serif"/>
        <b/>
        <sz val="9.0"/>
      </rPr>
      <t xml:space="preserve"> (12.)</t>
    </r>
  </si>
  <si>
    <r>
      <rPr>
        <rFont val="&quot;Source Sans Pro&quot;, &quot;Source Sans Pro-fallback&quot;, sans-serif"/>
        <b/>
        <color rgb="FF1155CC"/>
        <sz val="9.0"/>
        <u/>
      </rPr>
      <t>5:1</t>
    </r>
  </si>
  <si>
    <t>Sat 13/12/2014</t>
  </si>
  <si>
    <r>
      <rPr>
        <rFont val="&quot;Source Sans Pro&quot;, &quot;Source Sans Pro-fallback&quot;, sans-serif"/>
        <b/>
        <color rgb="FF1155CC"/>
        <sz val="9.0"/>
        <u/>
      </rPr>
      <t>Getafe</t>
    </r>
    <r>
      <rPr>
        <rFont val="&quot;Source Sans Pro&quot;, &quot;Source Sans Pro-fallback&quot;, sans-serif"/>
        <b/>
        <sz val="9.0"/>
      </rPr>
      <t xml:space="preserve"> (12.)</t>
    </r>
  </si>
  <si>
    <r>
      <rPr>
        <rFont val="&quot;Source Sans Pro&quot;, &quot;Source Sans Pro-fallback&quot;, sans-serif"/>
        <b/>
        <color rgb="FF1155CC"/>
        <sz val="9.0"/>
        <u/>
      </rPr>
      <t>0:0</t>
    </r>
  </si>
  <si>
    <t>Sat 20/12/2014</t>
  </si>
  <si>
    <r>
      <rPr>
        <rFont val="&quot;Source Sans Pro&quot;, &quot;Source Sans Pro-fallback&quot;, sans-serif"/>
        <b/>
        <color rgb="FF1155CC"/>
        <sz val="9.0"/>
        <u/>
      </rPr>
      <t>Córdoba CF</t>
    </r>
    <r>
      <rPr>
        <rFont val="&quot;Source Sans Pro&quot;, &quot;Source Sans Pro-fallback&quot;, sans-serif"/>
        <b/>
        <sz val="9.0"/>
      </rPr>
      <t xml:space="preserve"> (18.)</t>
    </r>
  </si>
  <si>
    <r>
      <rPr>
        <rFont val="&quot;Source Sans Pro&quot;, &quot;Source Sans Pro-fallback&quot;, sans-serif"/>
        <b/>
        <color rgb="FF1155CC"/>
        <sz val="9.0"/>
        <u/>
      </rPr>
      <t>5:0</t>
    </r>
  </si>
  <si>
    <t>Sun 04/01/2015</t>
  </si>
  <si>
    <r>
      <rPr>
        <rFont val="&quot;Source Sans Pro&quot;, &quot;Source Sans Pro-fallback&quot;, sans-serif"/>
        <b/>
        <color rgb="FF1155CC"/>
        <sz val="9.0"/>
        <u/>
      </rPr>
      <t>Real Sociedad</t>
    </r>
    <r>
      <rPr>
        <rFont val="&quot;Source Sans Pro&quot;, &quot;Source Sans Pro-fallback&quot;, sans-serif"/>
        <b/>
        <sz val="9.0"/>
      </rPr>
      <t xml:space="preserve"> (14.)</t>
    </r>
  </si>
  <si>
    <r>
      <rPr>
        <rFont val="&quot;Source Sans Pro&quot;, &quot;Source Sans Pro-fallback&quot;, sans-serif"/>
        <b/>
        <color rgb="FF1155CC"/>
        <sz val="9.0"/>
        <u/>
      </rPr>
      <t>1:0</t>
    </r>
  </si>
  <si>
    <t>Sun 11/01/2015</t>
  </si>
  <si>
    <r>
      <rPr>
        <rFont val="&quot;Source Sans Pro&quot;, &quot;Source Sans Pro-fallback&quot;, sans-serif"/>
        <b/>
        <color rgb="FF1155CC"/>
        <sz val="9.0"/>
        <u/>
      </rPr>
      <t>Atlético</t>
    </r>
    <r>
      <rPr>
        <rFont val="&quot;Source Sans Pro&quot;, &quot;Source Sans Pro-fallback&quot;, sans-serif"/>
        <b/>
        <sz val="9.0"/>
      </rPr>
      <t xml:space="preserve"> (3.)</t>
    </r>
  </si>
  <si>
    <r>
      <rPr>
        <rFont val="&quot;Source Sans Pro&quot;, &quot;Source Sans Pro-fallback&quot;, sans-serif"/>
        <b/>
        <color rgb="FF1155CC"/>
        <sz val="9.0"/>
        <u/>
      </rPr>
      <t>3:1</t>
    </r>
  </si>
  <si>
    <t>Sun 18/01/2015</t>
  </si>
  <si>
    <r>
      <rPr>
        <rFont val="&quot;Source Sans Pro&quot;, &quot;Source Sans Pro-fallback&quot;, sans-serif"/>
        <b/>
        <color rgb="FF1155CC"/>
        <sz val="9.0"/>
        <u/>
      </rPr>
      <t>Dep. La Coruña</t>
    </r>
    <r>
      <rPr>
        <rFont val="&quot;Source Sans Pro&quot;, &quot;Source Sans Pro-fallback&quot;, sans-serif"/>
        <b/>
        <sz val="9.0"/>
      </rPr>
      <t xml:space="preserve"> (16.)</t>
    </r>
  </si>
  <si>
    <r>
      <rPr>
        <rFont val="&quot;Source Sans Pro&quot;, &quot;Source Sans Pro-fallback&quot;, sans-serif"/>
        <b/>
        <color rgb="FF1155CC"/>
        <sz val="9.0"/>
        <u/>
      </rPr>
      <t>0:4</t>
    </r>
  </si>
  <si>
    <t>Sat 24/01/2015</t>
  </si>
  <si>
    <r>
      <rPr>
        <rFont val="&quot;Source Sans Pro&quot;, &quot;Source Sans Pro-fallback&quot;, sans-serif"/>
        <b/>
        <color rgb="FF1155CC"/>
        <sz val="9.0"/>
        <u/>
      </rPr>
      <t>Elche CF</t>
    </r>
    <r>
      <rPr>
        <rFont val="&quot;Source Sans Pro&quot;, &quot;Source Sans Pro-fallback&quot;, sans-serif"/>
        <b/>
        <sz val="9.0"/>
      </rPr>
      <t xml:space="preserve"> (17.)</t>
    </r>
  </si>
  <si>
    <r>
      <rPr>
        <rFont val="&quot;Source Sans Pro&quot;, &quot;Source Sans Pro-fallback&quot;, sans-serif"/>
        <b/>
        <color rgb="FF1155CC"/>
        <sz val="9.0"/>
        <u/>
      </rPr>
      <t>0:6</t>
    </r>
  </si>
  <si>
    <t>Sun 01/02/2015</t>
  </si>
  <si>
    <r>
      <rPr>
        <rFont val="&quot;Source Sans Pro&quot;, &quot;Source Sans Pro-fallback&quot;, sans-serif"/>
        <b/>
        <color rgb="FF1155CC"/>
        <sz val="9.0"/>
        <u/>
      </rPr>
      <t>Villarreal</t>
    </r>
    <r>
      <rPr>
        <rFont val="&quot;Source Sans Pro&quot;, &quot;Source Sans Pro-fallback&quot;, sans-serif"/>
        <b/>
        <sz val="9.0"/>
      </rPr>
      <t xml:space="preserve"> (6.)</t>
    </r>
  </si>
  <si>
    <r>
      <rPr>
        <rFont val="&quot;Source Sans Pro&quot;, &quot;Source Sans Pro-fallback&quot;, sans-serif"/>
        <b/>
        <color rgb="FF1155CC"/>
        <sz val="9.0"/>
        <u/>
      </rPr>
      <t>3:2</t>
    </r>
  </si>
  <si>
    <t>Sun 08/02/2015</t>
  </si>
  <si>
    <r>
      <rPr>
        <rFont val="&quot;Source Sans Pro&quot;, &quot;Source Sans Pro-fallback&quot;, sans-serif"/>
        <b/>
        <color rgb="FF1155CC"/>
        <sz val="9.0"/>
        <u/>
      </rPr>
      <t>Athletic Club</t>
    </r>
    <r>
      <rPr>
        <rFont val="&quot;Source Sans Pro&quot;, &quot;Source Sans Pro-fallback&quot;, sans-serif"/>
        <b/>
        <sz val="9.0"/>
      </rPr>
      <t xml:space="preserve"> (12.)</t>
    </r>
  </si>
  <si>
    <r>
      <rPr>
        <rFont val="&quot;Source Sans Pro&quot;, &quot;Source Sans Pro-fallback&quot;, sans-serif"/>
        <b/>
        <color rgb="FF1155CC"/>
        <sz val="9.0"/>
        <u/>
      </rPr>
      <t>2:5</t>
    </r>
  </si>
  <si>
    <t>Sun 15/02/2015</t>
  </si>
  <si>
    <r>
      <rPr>
        <rFont val="&quot;Source Sans Pro&quot;, &quot;Source Sans Pro-fallback&quot;, sans-serif"/>
        <b/>
        <color rgb="FF1155CC"/>
        <sz val="9.0"/>
        <u/>
      </rPr>
      <t>Levante</t>
    </r>
    <r>
      <rPr>
        <rFont val="&quot;Source Sans Pro&quot;, &quot;Source Sans Pro-fallback&quot;, sans-serif"/>
        <b/>
        <sz val="9.0"/>
      </rPr>
      <t xml:space="preserve"> (17.)</t>
    </r>
  </si>
  <si>
    <r>
      <rPr>
        <rFont val="&quot;Source Sans Pro&quot;, &quot;Source Sans Pro-fallback&quot;, sans-serif"/>
        <b/>
        <color rgb="FF1155CC"/>
        <sz val="9.0"/>
        <u/>
      </rPr>
      <t>5:0</t>
    </r>
  </si>
  <si>
    <t>Sat 21/02/2015</t>
  </si>
  <si>
    <r>
      <rPr>
        <rFont val="&quot;Source Sans Pro&quot;, &quot;Source Sans Pro-fallback&quot;, sans-serif"/>
        <b/>
        <color rgb="FF1155CC"/>
        <sz val="9.0"/>
        <u/>
      </rPr>
      <t>Málaga CF</t>
    </r>
    <r>
      <rPr>
        <rFont val="&quot;Source Sans Pro&quot;, &quot;Source Sans Pro-fallback&quot;, sans-serif"/>
        <b/>
        <sz val="9.0"/>
      </rPr>
      <t xml:space="preserve"> (7.)</t>
    </r>
  </si>
  <si>
    <r>
      <rPr>
        <rFont val="&quot;Source Sans Pro&quot;, &quot;Source Sans Pro-fallback&quot;, sans-serif"/>
        <b/>
        <color rgb="FF1155CC"/>
        <sz val="9.0"/>
        <u/>
      </rPr>
      <t>0:1</t>
    </r>
  </si>
  <si>
    <t>Sat 28/02/2015</t>
  </si>
  <si>
    <r>
      <rPr>
        <rFont val="&quot;Source Sans Pro&quot;, &quot;Source Sans Pro-fallback&quot;, sans-serif"/>
        <b/>
        <color rgb="FF1155CC"/>
        <sz val="9.0"/>
        <u/>
      </rPr>
      <t>Granada CF</t>
    </r>
    <r>
      <rPr>
        <rFont val="&quot;Source Sans Pro&quot;, &quot;Source Sans Pro-fallback&quot;, sans-serif"/>
        <b/>
        <sz val="9.0"/>
      </rPr>
      <t xml:space="preserve"> (19.)</t>
    </r>
  </si>
  <si>
    <r>
      <rPr>
        <rFont val="&quot;Source Sans Pro&quot;, &quot;Source Sans Pro-fallback&quot;, sans-serif"/>
        <b/>
        <color rgb="FF1155CC"/>
        <sz val="9.0"/>
        <u/>
      </rPr>
      <t>1:3</t>
    </r>
  </si>
  <si>
    <t>Sun 08/03/2015</t>
  </si>
  <si>
    <r>
      <rPr>
        <rFont val="&quot;Source Sans Pro&quot;, &quot;Source Sans Pro-fallback&quot;, sans-serif"/>
        <b/>
        <color rgb="FF1155CC"/>
        <sz val="9.0"/>
        <u/>
      </rPr>
      <t>Rayo Vallecano</t>
    </r>
    <r>
      <rPr>
        <rFont val="&quot;Source Sans Pro&quot;, &quot;Source Sans Pro-fallback&quot;, sans-serif"/>
        <b/>
        <sz val="9.0"/>
      </rPr>
      <t xml:space="preserve"> (11.)</t>
    </r>
  </si>
  <si>
    <r>
      <rPr>
        <rFont val="&quot;Source Sans Pro&quot;, &quot;Source Sans Pro-fallback&quot;, sans-serif"/>
        <b/>
        <color rgb="FF1155CC"/>
        <sz val="9.0"/>
        <u/>
      </rPr>
      <t>6:1</t>
    </r>
  </si>
  <si>
    <t>Sat 14/03/2015</t>
  </si>
  <si>
    <r>
      <rPr>
        <rFont val="&quot;Source Sans Pro&quot;, &quot;Source Sans Pro-fallback&quot;, sans-serif"/>
        <b/>
        <color rgb="FF1155CC"/>
        <sz val="9.0"/>
        <u/>
      </rPr>
      <t>SD Eibar</t>
    </r>
    <r>
      <rPr>
        <rFont val="&quot;Source Sans Pro&quot;, &quot;Source Sans Pro-fallback&quot;, sans-serif"/>
        <b/>
        <sz val="9.0"/>
      </rPr>
      <t xml:space="preserve"> (14.)</t>
    </r>
  </si>
  <si>
    <r>
      <rPr>
        <rFont val="&quot;Source Sans Pro&quot;, &quot;Source Sans Pro-fallback&quot;, sans-serif"/>
        <b/>
        <color rgb="FF1155CC"/>
        <sz val="9.0"/>
        <u/>
      </rPr>
      <t>0:2</t>
    </r>
  </si>
  <si>
    <t>Sun 22/03/2015</t>
  </si>
  <si>
    <r>
      <rPr>
        <rFont val="&quot;Source Sans Pro&quot;, &quot;Source Sans Pro-fallback&quot;, sans-serif"/>
        <b/>
        <color rgb="FF1155CC"/>
        <sz val="9.0"/>
        <u/>
      </rPr>
      <t>Real Madrid</t>
    </r>
    <r>
      <rPr>
        <rFont val="&quot;Source Sans Pro&quot;, &quot;Source Sans Pro-fallback&quot;, sans-serif"/>
        <b/>
        <sz val="9.0"/>
      </rPr>
      <t xml:space="preserve"> (2.)</t>
    </r>
  </si>
  <si>
    <r>
      <rPr>
        <rFont val="&quot;Source Sans Pro&quot;, &quot;Source Sans Pro-fallback&quot;, sans-serif"/>
        <b/>
        <color rgb="FF1155CC"/>
        <sz val="9.0"/>
        <u/>
      </rPr>
      <t>2:1</t>
    </r>
  </si>
  <si>
    <t>Sun 05/04/2015</t>
  </si>
  <si>
    <r>
      <rPr>
        <rFont val="&quot;Source Sans Pro&quot;, &quot;Source Sans Pro-fallback&quot;, sans-serif"/>
        <b/>
        <color rgb="FF1155CC"/>
        <sz val="9.0"/>
        <u/>
      </rPr>
      <t>Celta de Vigo</t>
    </r>
    <r>
      <rPr>
        <rFont val="&quot;Source Sans Pro&quot;, &quot;Source Sans Pro-fallback&quot;, sans-serif"/>
        <b/>
        <sz val="9.0"/>
      </rPr>
      <t xml:space="preserve"> (11.)</t>
    </r>
  </si>
  <si>
    <r>
      <rPr>
        <rFont val="&quot;Source Sans Pro&quot;, &quot;Source Sans Pro-fallback&quot;, sans-serif"/>
        <b/>
        <color rgb="FF1155CC"/>
        <sz val="9.0"/>
        <u/>
      </rPr>
      <t>0:1</t>
    </r>
  </si>
  <si>
    <t>Wed 08/04/2015</t>
  </si>
  <si>
    <r>
      <rPr>
        <rFont val="&quot;Source Sans Pro&quot;, &quot;Source Sans Pro-fallback&quot;, sans-serif"/>
        <b/>
        <color rgb="FF1155CC"/>
        <sz val="9.0"/>
        <u/>
      </rPr>
      <t>UD Almería</t>
    </r>
    <r>
      <rPr>
        <rFont val="&quot;Source Sans Pro&quot;, &quot;Source Sans Pro-fallback&quot;, sans-serif"/>
        <b/>
        <sz val="9.0"/>
      </rPr>
      <t xml:space="preserve"> (19.)</t>
    </r>
  </si>
  <si>
    <r>
      <rPr>
        <rFont val="&quot;Source Sans Pro&quot;, &quot;Source Sans Pro-fallback&quot;, sans-serif"/>
        <b/>
        <color rgb="FF1155CC"/>
        <sz val="9.0"/>
        <u/>
      </rPr>
      <t>4:0</t>
    </r>
  </si>
  <si>
    <t>Sat 11/04/2015</t>
  </si>
  <si>
    <r>
      <rPr>
        <rFont val="&quot;Source Sans Pro&quot;, &quot;Source Sans Pro-fallback&quot;, sans-serif"/>
        <b/>
        <color rgb="FF1155CC"/>
        <sz val="9.0"/>
        <u/>
      </rPr>
      <t>Sevilla FC</t>
    </r>
    <r>
      <rPr>
        <rFont val="&quot;Source Sans Pro&quot;, &quot;Source Sans Pro-fallback&quot;, sans-serif"/>
        <b/>
        <sz val="9.0"/>
      </rPr>
      <t xml:space="preserve"> (5.)</t>
    </r>
  </si>
  <si>
    <r>
      <rPr>
        <rFont val="&quot;Source Sans Pro&quot;, &quot;Source Sans Pro-fallback&quot;, sans-serif"/>
        <b/>
        <color rgb="FF1155CC"/>
        <sz val="9.0"/>
        <u/>
      </rPr>
      <t>2:2</t>
    </r>
  </si>
  <si>
    <t>Sat 18/04/2015</t>
  </si>
  <si>
    <r>
      <rPr>
        <rFont val="&quot;Source Sans Pro&quot;, &quot;Source Sans Pro-fallback&quot;, sans-serif"/>
        <b/>
        <color rgb="FF1155CC"/>
        <sz val="9.0"/>
        <u/>
      </rPr>
      <t>Valencia</t>
    </r>
    <r>
      <rPr>
        <rFont val="&quot;Source Sans Pro&quot;, &quot;Source Sans Pro-fallback&quot;, sans-serif"/>
        <b/>
        <sz val="9.0"/>
      </rPr>
      <t xml:space="preserve"> (4.)</t>
    </r>
  </si>
  <si>
    <r>
      <rPr>
        <rFont val="&quot;Source Sans Pro&quot;, &quot;Source Sans Pro-fallback&quot;, sans-serif"/>
        <b/>
        <color rgb="FF1155CC"/>
        <sz val="9.0"/>
        <u/>
      </rPr>
      <t>2:0</t>
    </r>
  </si>
  <si>
    <t>Sat 25/04/2015</t>
  </si>
  <si>
    <r>
      <rPr>
        <rFont val="&quot;Source Sans Pro&quot;, &quot;Source Sans Pro-fallback&quot;, sans-serif"/>
        <b/>
        <color rgb="FF1155CC"/>
        <sz val="9.0"/>
        <u/>
      </rPr>
      <t>Espanyol</t>
    </r>
    <r>
      <rPr>
        <rFont val="&quot;Source Sans Pro&quot;, &quot;Source Sans Pro-fallback&quot;, sans-serif"/>
        <b/>
        <sz val="9.0"/>
      </rPr>
      <t xml:space="preserve"> (9.)</t>
    </r>
  </si>
  <si>
    <r>
      <rPr>
        <rFont val="&quot;Source Sans Pro&quot;, &quot;Source Sans Pro-fallback&quot;, sans-serif"/>
        <b/>
        <color rgb="FF1155CC"/>
        <sz val="9.0"/>
        <u/>
      </rPr>
      <t>0:2</t>
    </r>
  </si>
  <si>
    <t>Tue 28/04/2015</t>
  </si>
  <si>
    <r>
      <rPr>
        <rFont val="&quot;Source Sans Pro&quot;, &quot;Source Sans Pro-fallback&quot;, sans-serif"/>
        <b/>
        <color rgb="FF1155CC"/>
        <sz val="9.0"/>
        <u/>
      </rPr>
      <t>Getafe</t>
    </r>
    <r>
      <rPr>
        <rFont val="&quot;Source Sans Pro&quot;, &quot;Source Sans Pro-fallback&quot;, sans-serif"/>
        <b/>
        <sz val="9.0"/>
      </rPr>
      <t xml:space="preserve"> (13.)</t>
    </r>
  </si>
  <si>
    <r>
      <rPr>
        <rFont val="&quot;Source Sans Pro&quot;, &quot;Source Sans Pro-fallback&quot;, sans-serif"/>
        <b/>
        <color rgb="FF1155CC"/>
        <sz val="9.0"/>
        <u/>
      </rPr>
      <t>6:0</t>
    </r>
  </si>
  <si>
    <t>Sat 02/05/2015</t>
  </si>
  <si>
    <r>
      <rPr>
        <rFont val="&quot;Source Sans Pro&quot;, &quot;Source Sans Pro-fallback&quot;, sans-serif"/>
        <b/>
        <color rgb="FF1155CC"/>
        <sz val="9.0"/>
        <u/>
      </rPr>
      <t>Córdoba CF</t>
    </r>
    <r>
      <rPr>
        <rFont val="&quot;Source Sans Pro&quot;, &quot;Source Sans Pro-fallback&quot;, sans-serif"/>
        <b/>
        <sz val="9.0"/>
      </rPr>
      <t xml:space="preserve"> (20.)</t>
    </r>
  </si>
  <si>
    <r>
      <rPr>
        <rFont val="&quot;Source Sans Pro&quot;, &quot;Source Sans Pro-fallback&quot;, sans-serif"/>
        <b/>
        <color rgb="FF1155CC"/>
        <sz val="9.0"/>
        <u/>
      </rPr>
      <t>0:8</t>
    </r>
  </si>
  <si>
    <t>Sat 09/05/2015</t>
  </si>
  <si>
    <r>
      <rPr>
        <rFont val="&quot;Source Sans Pro&quot;, &quot;Source Sans Pro-fallback&quot;, sans-serif"/>
        <b/>
        <color rgb="FF1155CC"/>
        <sz val="9.0"/>
        <u/>
      </rPr>
      <t>Real Sociedad</t>
    </r>
    <r>
      <rPr>
        <rFont val="&quot;Source Sans Pro&quot;, &quot;Source Sans Pro-fallback&quot;, sans-serif"/>
        <b/>
        <sz val="9.0"/>
      </rPr>
      <t xml:space="preserve"> (12.)</t>
    </r>
  </si>
  <si>
    <r>
      <rPr>
        <rFont val="&quot;Source Sans Pro&quot;, &quot;Source Sans Pro-fallback&quot;, sans-serif"/>
        <b/>
        <color rgb="FF1155CC"/>
        <sz val="9.0"/>
        <u/>
      </rPr>
      <t>2:0</t>
    </r>
  </si>
  <si>
    <t>Sun 17/05/2015</t>
  </si>
  <si>
    <r>
      <rPr>
        <rFont val="&quot;Source Sans Pro&quot;, &quot;Source Sans Pro-fallback&quot;, sans-serif"/>
        <b/>
        <color rgb="FF1155CC"/>
        <sz val="9.0"/>
        <u/>
      </rPr>
      <t>Atlético</t>
    </r>
    <r>
      <rPr>
        <rFont val="&quot;Source Sans Pro&quot;, &quot;Source Sans Pro-fallback&quot;, sans-serif"/>
        <b/>
        <sz val="9.0"/>
      </rPr>
      <t xml:space="preserve"> (3.)</t>
    </r>
  </si>
  <si>
    <r>
      <rPr>
        <rFont val="&quot;Source Sans Pro&quot;, &quot;Source Sans Pro-fallback&quot;, sans-serif"/>
        <b/>
        <color rgb="FF1155CC"/>
        <sz val="9.0"/>
        <u/>
      </rPr>
      <t>0:1</t>
    </r>
  </si>
  <si>
    <t>Sat 23/05/2015</t>
  </si>
  <si>
    <r>
      <rPr>
        <rFont val="&quot;Source Sans Pro&quot;, &quot;Source Sans Pro-fallback&quot;, sans-serif"/>
        <b/>
        <color rgb="FF1155CC"/>
        <sz val="9.0"/>
        <u/>
      </rPr>
      <t>Dep. La Coruña</t>
    </r>
    <r>
      <rPr>
        <rFont val="&quot;Source Sans Pro&quot;, &quot;Source Sans Pro-fallback&quot;, sans-serif"/>
        <b/>
        <sz val="9.0"/>
      </rPr>
      <t xml:space="preserve"> (17.)</t>
    </r>
  </si>
  <si>
    <r>
      <rPr>
        <rFont val="&quot;Source Sans Pro&quot;, &quot;Source Sans Pro-fallback&quot;, sans-serif"/>
        <b/>
        <color rgb="FF1155CC"/>
        <sz val="9.0"/>
        <u/>
      </rPr>
      <t>2:2</t>
    </r>
  </si>
  <si>
    <t>Wed 17/09/2014</t>
  </si>
  <si>
    <r>
      <rPr>
        <rFont val="&quot;Source Sans Pro&quot;, &quot;Source Sans Pro-fallback&quot;, sans-serif"/>
        <b/>
        <color rgb="FF1155CC"/>
        <sz val="9.0"/>
        <u/>
      </rPr>
      <t>APOEL Nicosia</t>
    </r>
  </si>
  <si>
    <r>
      <rPr>
        <rFont val="&quot;Source Sans Pro&quot;, &quot;Source Sans Pro-fallback&quot;, sans-serif"/>
        <b/>
        <color rgb="FF1155CC"/>
        <sz val="9.0"/>
        <u/>
      </rPr>
      <t>1:0</t>
    </r>
  </si>
  <si>
    <t>Tue 30/09/2014</t>
  </si>
  <si>
    <r>
      <rPr>
        <rFont val="&quot;Source Sans Pro&quot;, &quot;Source Sans Pro-fallback&quot;, sans-serif"/>
        <b/>
        <color rgb="FF1155CC"/>
        <sz val="9.0"/>
        <u/>
      </rPr>
      <t>PSG</t>
    </r>
  </si>
  <si>
    <r>
      <rPr>
        <rFont val="&quot;Source Sans Pro&quot;, &quot;Source Sans Pro-fallback&quot;, sans-serif"/>
        <b/>
        <color rgb="FF1155CC"/>
        <sz val="9.0"/>
        <u/>
      </rPr>
      <t>3:2</t>
    </r>
  </si>
  <si>
    <t>Tue 21/10/2014</t>
  </si>
  <si>
    <r>
      <rPr>
        <rFont val="&quot;Source Sans Pro&quot;, &quot;Source Sans Pro-fallback&quot;, sans-serif"/>
        <b/>
        <color rgb="FF1155CC"/>
        <sz val="9.0"/>
        <u/>
      </rPr>
      <t>Ajax</t>
    </r>
  </si>
  <si>
    <r>
      <rPr>
        <rFont val="&quot;Source Sans Pro&quot;, &quot;Source Sans Pro-fallback&quot;, sans-serif"/>
        <b/>
        <color rgb="FF1155CC"/>
        <sz val="9.0"/>
        <u/>
      </rPr>
      <t>3:1</t>
    </r>
  </si>
  <si>
    <t>Wed 05/11/2014</t>
  </si>
  <si>
    <r>
      <rPr>
        <rFont val="&quot;Source Sans Pro&quot;, &quot;Source Sans Pro-fallback&quot;, sans-serif"/>
        <b/>
        <color rgb="FF1155CC"/>
        <sz val="9.0"/>
        <u/>
      </rPr>
      <t>Ajax</t>
    </r>
  </si>
  <si>
    <r>
      <rPr>
        <rFont val="&quot;Source Sans Pro&quot;, &quot;Source Sans Pro-fallback&quot;, sans-serif"/>
        <b/>
        <color rgb="FF1155CC"/>
        <sz val="9.0"/>
        <u/>
      </rPr>
      <t>0:2</t>
    </r>
  </si>
  <si>
    <t>Tue 25/11/2014</t>
  </si>
  <si>
    <r>
      <rPr>
        <rFont val="&quot;Source Sans Pro&quot;, &quot;Source Sans Pro-fallback&quot;, sans-serif"/>
        <b/>
        <color rgb="FF1155CC"/>
        <sz val="9.0"/>
        <u/>
      </rPr>
      <t>APOEL Nicosia</t>
    </r>
  </si>
  <si>
    <r>
      <rPr>
        <rFont val="&quot;Source Sans Pro&quot;, &quot;Source Sans Pro-fallback&quot;, sans-serif"/>
        <b/>
        <color rgb="FF1155CC"/>
        <sz val="9.0"/>
        <u/>
      </rPr>
      <t>0:4</t>
    </r>
  </si>
  <si>
    <t>Wed 10/12/2014</t>
  </si>
  <si>
    <r>
      <rPr>
        <rFont val="&quot;Source Sans Pro&quot;, &quot;Source Sans Pro-fallback&quot;, sans-serif"/>
        <b/>
        <color rgb="FF1155CC"/>
        <sz val="9.0"/>
        <u/>
      </rPr>
      <t>PSG</t>
    </r>
  </si>
  <si>
    <r>
      <rPr>
        <rFont val="&quot;Source Sans Pro&quot;, &quot;Source Sans Pro-fallback&quot;, sans-serif"/>
        <b/>
        <color rgb="FF1155CC"/>
        <sz val="9.0"/>
        <u/>
      </rPr>
      <t>3:1</t>
    </r>
  </si>
  <si>
    <t>Tue 24/02/2015</t>
  </si>
  <si>
    <r>
      <rPr>
        <rFont val="&quot;Source Sans Pro&quot;, &quot;Source Sans Pro-fallback&quot;, sans-serif"/>
        <b/>
        <color rgb="FF1155CC"/>
        <sz val="9.0"/>
        <u/>
      </rPr>
      <t>Man City</t>
    </r>
  </si>
  <si>
    <r>
      <rPr>
        <rFont val="&quot;Source Sans Pro&quot;, &quot;Source Sans Pro-fallback&quot;, sans-serif"/>
        <b/>
        <color rgb="FF1155CC"/>
        <sz val="9.0"/>
        <u/>
      </rPr>
      <t>1:2</t>
    </r>
  </si>
  <si>
    <t>Wed 18/03/2015</t>
  </si>
  <si>
    <r>
      <rPr>
        <rFont val="&quot;Source Sans Pro&quot;, &quot;Source Sans Pro-fallback&quot;, sans-serif"/>
        <b/>
        <color rgb="FF1155CC"/>
        <sz val="9.0"/>
        <u/>
      </rPr>
      <t>Man City</t>
    </r>
  </si>
  <si>
    <r>
      <rPr>
        <rFont val="&quot;Source Sans Pro&quot;, &quot;Source Sans Pro-fallback&quot;, sans-serif"/>
        <b/>
        <color rgb="FF1155CC"/>
        <sz val="9.0"/>
        <u/>
      </rPr>
      <t>1:0</t>
    </r>
  </si>
  <si>
    <t>Wed 15/04/2015</t>
  </si>
  <si>
    <r>
      <rPr>
        <rFont val="&quot;Source Sans Pro&quot;, &quot;Source Sans Pro-fallback&quot;, sans-serif"/>
        <b/>
        <color rgb="FF1155CC"/>
        <sz val="9.0"/>
        <u/>
      </rPr>
      <t>PSG</t>
    </r>
  </si>
  <si>
    <r>
      <rPr>
        <rFont val="&quot;Source Sans Pro&quot;, &quot;Source Sans Pro-fallback&quot;, sans-serif"/>
        <b/>
        <color rgb="FF1155CC"/>
        <sz val="9.0"/>
        <u/>
      </rPr>
      <t>1:3</t>
    </r>
  </si>
  <si>
    <t>Tue 21/04/2015</t>
  </si>
  <si>
    <r>
      <rPr>
        <rFont val="&quot;Source Sans Pro&quot;, &quot;Source Sans Pro-fallback&quot;, sans-serif"/>
        <b/>
        <color rgb="FF1155CC"/>
        <sz val="9.0"/>
        <u/>
      </rPr>
      <t>PSG</t>
    </r>
  </si>
  <si>
    <r>
      <rPr>
        <rFont val="&quot;Source Sans Pro&quot;, &quot;Source Sans Pro-fallback&quot;, sans-serif"/>
        <b/>
        <color rgb="FF1155CC"/>
        <sz val="9.0"/>
        <u/>
      </rPr>
      <t>2:0</t>
    </r>
  </si>
  <si>
    <t>Wed 06/05/2015</t>
  </si>
  <si>
    <r>
      <rPr>
        <rFont val="&quot;Source Sans Pro&quot;, &quot;Source Sans Pro-fallback&quot;, sans-serif"/>
        <b/>
        <color rgb="FF1155CC"/>
        <sz val="9.0"/>
        <u/>
      </rPr>
      <t>Bayern Munich</t>
    </r>
  </si>
  <si>
    <r>
      <rPr>
        <rFont val="&quot;Source Sans Pro&quot;, &quot;Source Sans Pro-fallback&quot;, sans-serif"/>
        <b/>
        <color rgb="FF1155CC"/>
        <sz val="9.0"/>
        <u/>
      </rPr>
      <t>3:0</t>
    </r>
  </si>
  <si>
    <t>Tue 12/05/2015</t>
  </si>
  <si>
    <r>
      <rPr>
        <rFont val="&quot;Source Sans Pro&quot;, &quot;Source Sans Pro-fallback&quot;, sans-serif"/>
        <b/>
        <color rgb="FF1155CC"/>
        <sz val="9.0"/>
        <u/>
      </rPr>
      <t>Bayern Munich</t>
    </r>
  </si>
  <si>
    <r>
      <rPr>
        <rFont val="&quot;Source Sans Pro&quot;, &quot;Source Sans Pro-fallback&quot;, sans-serif"/>
        <b/>
        <color rgb="FF1155CC"/>
        <sz val="9.0"/>
        <u/>
      </rPr>
      <t>3:2</t>
    </r>
  </si>
  <si>
    <t>Sat 06/06/2015</t>
  </si>
  <si>
    <r>
      <rPr>
        <rFont val="&quot;Source Sans Pro&quot;, &quot;Source Sans Pro-fallback&quot;, sans-serif"/>
        <b/>
        <color rgb="FF1155CC"/>
        <sz val="9.0"/>
        <u/>
      </rPr>
      <t>Juventus</t>
    </r>
  </si>
  <si>
    <r>
      <rPr>
        <rFont val="&quot;Source Sans Pro&quot;, &quot;Source Sans Pro-fallback&quot;, sans-serif"/>
        <b/>
        <color rgb="FF1155CC"/>
        <sz val="9.0"/>
        <u/>
      </rPr>
      <t>1:3</t>
    </r>
  </si>
  <si>
    <t>Wed 03/12/2014</t>
  </si>
  <si>
    <r>
      <rPr>
        <rFont val="&quot;Source Sans Pro&quot;, &quot;Source Sans Pro-fallback&quot;, sans-serif"/>
        <b/>
        <color rgb="FF1155CC"/>
        <sz val="9.0"/>
        <u/>
      </rPr>
      <t>SD Huesca</t>
    </r>
  </si>
  <si>
    <r>
      <rPr>
        <rFont val="&quot;Source Sans Pro&quot;, &quot;Source Sans Pro-fallback&quot;, sans-serif"/>
        <b/>
        <color rgb="FF1155CC"/>
        <sz val="9.0"/>
        <u/>
      </rPr>
      <t>0:4</t>
    </r>
  </si>
  <si>
    <t>Tue 16/12/2014</t>
  </si>
  <si>
    <r>
      <rPr>
        <rFont val="&quot;Source Sans Pro&quot;, &quot;Source Sans Pro-fallback&quot;, sans-serif"/>
        <b/>
        <color rgb="FF1155CC"/>
        <sz val="9.0"/>
        <u/>
      </rPr>
      <t>SD Huesca</t>
    </r>
  </si>
  <si>
    <r>
      <rPr>
        <rFont val="&quot;Source Sans Pro&quot;, &quot;Source Sans Pro-fallback&quot;, sans-serif"/>
        <b/>
        <color rgb="FF1155CC"/>
        <sz val="9.0"/>
        <u/>
      </rPr>
      <t>8:1</t>
    </r>
  </si>
  <si>
    <t>Thu 08/01/2015</t>
  </si>
  <si>
    <r>
      <rPr>
        <rFont val="&quot;Source Sans Pro&quot;, &quot;Source Sans Pro-fallback&quot;, sans-serif"/>
        <b/>
        <color rgb="FF1155CC"/>
        <sz val="9.0"/>
        <u/>
      </rPr>
      <t>Elche CF</t>
    </r>
  </si>
  <si>
    <r>
      <rPr>
        <rFont val="&quot;Source Sans Pro&quot;, &quot;Source Sans Pro-fallback&quot;, sans-serif"/>
        <b/>
        <color rgb="FF1155CC"/>
        <sz val="9.0"/>
        <u/>
      </rPr>
      <t>5:0</t>
    </r>
  </si>
  <si>
    <t>Thu 15/01/2015</t>
  </si>
  <si>
    <r>
      <rPr>
        <rFont val="&quot;Source Sans Pro&quot;, &quot;Source Sans Pro-fallback&quot;, sans-serif"/>
        <b/>
        <color rgb="FF1155CC"/>
        <sz val="9.0"/>
        <u/>
      </rPr>
      <t>Elche CF</t>
    </r>
  </si>
  <si>
    <r>
      <rPr>
        <rFont val="&quot;Source Sans Pro&quot;, &quot;Source Sans Pro-fallback&quot;, sans-serif"/>
        <b/>
        <color rgb="FF1155CC"/>
        <sz val="9.0"/>
        <u/>
      </rPr>
      <t>0:4</t>
    </r>
  </si>
  <si>
    <t>Wed 21/01/2015</t>
  </si>
  <si>
    <r>
      <rPr>
        <rFont val="&quot;Source Sans Pro&quot;, &quot;Source Sans Pro-fallback&quot;, sans-serif"/>
        <b/>
        <color rgb="FF1155CC"/>
        <sz val="9.0"/>
        <u/>
      </rPr>
      <t>Atlético</t>
    </r>
  </si>
  <si>
    <r>
      <rPr>
        <rFont val="&quot;Source Sans Pro&quot;, &quot;Source Sans Pro-fallback&quot;, sans-serif"/>
        <b/>
        <color rgb="FF1155CC"/>
        <sz val="9.0"/>
        <u/>
      </rPr>
      <t>1:0</t>
    </r>
  </si>
  <si>
    <t>Wed 28/01/2015</t>
  </si>
  <si>
    <r>
      <rPr>
        <rFont val="&quot;Source Sans Pro&quot;, &quot;Source Sans Pro-fallback&quot;, sans-serif"/>
        <b/>
        <color rgb="FF1155CC"/>
        <sz val="9.0"/>
        <u/>
      </rPr>
      <t>Atlético</t>
    </r>
  </si>
  <si>
    <r>
      <rPr>
        <rFont val="&quot;Source Sans Pro&quot;, &quot;Source Sans Pro-fallback&quot;, sans-serif"/>
        <b/>
        <color rgb="FF1155CC"/>
        <sz val="9.0"/>
        <u/>
      </rPr>
      <t>2:3</t>
    </r>
  </si>
  <si>
    <t>Wed 11/02/2015</t>
  </si>
  <si>
    <r>
      <rPr>
        <rFont val="&quot;Source Sans Pro&quot;, &quot;Source Sans Pro-fallback&quot;, sans-serif"/>
        <b/>
        <color rgb="FF1155CC"/>
        <sz val="9.0"/>
        <u/>
      </rPr>
      <t>Villarreal</t>
    </r>
  </si>
  <si>
    <r>
      <rPr>
        <rFont val="&quot;Source Sans Pro&quot;, &quot;Source Sans Pro-fallback&quot;, sans-serif"/>
        <b/>
        <color rgb="FF1155CC"/>
        <sz val="9.0"/>
        <u/>
      </rPr>
      <t>3:1</t>
    </r>
  </si>
  <si>
    <t>Wed 04/03/2015</t>
  </si>
  <si>
    <r>
      <rPr>
        <rFont val="&quot;Source Sans Pro&quot;, &quot;Source Sans Pro-fallback&quot;, sans-serif"/>
        <b/>
        <color rgb="FF1155CC"/>
        <sz val="9.0"/>
        <u/>
      </rPr>
      <t>Villarreal</t>
    </r>
  </si>
  <si>
    <r>
      <rPr>
        <rFont val="&quot;Source Sans Pro&quot;, &quot;Source Sans Pro-fallback&quot;, sans-serif"/>
        <b/>
        <color rgb="FF1155CC"/>
        <sz val="9.0"/>
        <u/>
      </rPr>
      <t>1:3</t>
    </r>
  </si>
  <si>
    <t>Sat 30/05/2015</t>
  </si>
  <si>
    <r>
      <rPr>
        <rFont val="&quot;Source Sans Pro&quot;, &quot;Source Sans Pro-fallback&quot;, sans-serif"/>
        <b/>
        <color rgb="FF1155CC"/>
        <sz val="9.0"/>
        <u/>
      </rPr>
      <t>Athletic Club</t>
    </r>
  </si>
  <si>
    <r>
      <rPr>
        <rFont val="&quot;Source Sans Pro&quot;, &quot;Source Sans Pro-fallback&quot;, sans-serif"/>
        <b/>
        <color rgb="FF1155CC"/>
        <sz val="9.0"/>
        <u/>
      </rPr>
      <t>1:3</t>
    </r>
  </si>
  <si>
    <t>NA</t>
  </si>
  <si>
    <t>Paris-Saint Germain</t>
  </si>
  <si>
    <t>Ολυμπιακός</t>
  </si>
  <si>
    <t>Fri 08.03.2024</t>
  </si>
  <si>
    <t>Fri 16.08.2019</t>
  </si>
  <si>
    <t>Fri 29.09.2023</t>
  </si>
  <si>
    <t>Mon 10.04.2023</t>
  </si>
  <si>
    <t>Mon 13.05.2024</t>
  </si>
  <si>
    <t>Mon 17.02.2025</t>
  </si>
  <si>
    <t>Mon 18.04.2022</t>
  </si>
  <si>
    <t>Mon 20.09.2021</t>
  </si>
  <si>
    <t>Mon 29.04.2024</t>
  </si>
  <si>
    <t>Sat 01.04.2023</t>
  </si>
  <si>
    <t>Sat 01.10.2022</t>
  </si>
  <si>
    <t>Sat 02.02.2019</t>
  </si>
  <si>
    <t>Sat 02.03.2019</t>
  </si>
  <si>
    <t>Sat 02.10.2021</t>
  </si>
  <si>
    <t>Sat 02.11.2019</t>
  </si>
  <si>
    <t>Sat 02.12.2017</t>
  </si>
  <si>
    <t>Sat 03.02.2024</t>
  </si>
  <si>
    <t>Sat 03.05.2025</t>
  </si>
  <si>
    <t>Sat 03.09.2022</t>
  </si>
  <si>
    <t>Sat 03.11.2018</t>
  </si>
  <si>
    <t>Sat 04.01.2020</t>
  </si>
  <si>
    <t>Sat 04.01.2025</t>
  </si>
  <si>
    <t>Sat 04.05.2019</t>
  </si>
  <si>
    <t>Sat 04.05.2024</t>
  </si>
  <si>
    <t>Sat 04.11.2017</t>
  </si>
  <si>
    <t>Sat 04.11.2023</t>
  </si>
  <si>
    <t>Sat 04.12.2021</t>
  </si>
  <si>
    <t>Sat 05.04.2025</t>
  </si>
  <si>
    <t>Sat 05.11.2022</t>
  </si>
  <si>
    <t>Sat 06.04.2019</t>
  </si>
  <si>
    <t>Sat 06.11.2021</t>
  </si>
  <si>
    <t>Sat 07.03.2020</t>
  </si>
  <si>
    <t>Sat 07.04.2018</t>
  </si>
  <si>
    <t>Sat 07.05.2022</t>
  </si>
  <si>
    <t>Sat 07.12.2019</t>
  </si>
  <si>
    <t>Sat 07.12.2024</t>
  </si>
  <si>
    <t>Sat 08.01.2022</t>
  </si>
  <si>
    <t>Sat 08.12.2018</t>
  </si>
  <si>
    <t>Sat 09.03.2019</t>
  </si>
  <si>
    <t>Sat 09.09.2017</t>
  </si>
  <si>
    <t>Sat 09.11.2019</t>
  </si>
  <si>
    <t>Sat 10.03.2018</t>
  </si>
  <si>
    <t>Sat 10.09.2022</t>
  </si>
  <si>
    <t>Sat 12.04.2025</t>
  </si>
  <si>
    <t>Sat 13.04.2019</t>
  </si>
  <si>
    <t>Sat 13.04.2024</t>
  </si>
  <si>
    <t>Sat 13.08.2022</t>
  </si>
  <si>
    <t>Sat 14.04.2018</t>
  </si>
  <si>
    <t>Sat 14.09.2019</t>
  </si>
  <si>
    <t>Sat 14.10.2017</t>
  </si>
  <si>
    <t>Sat 14.12.2019</t>
  </si>
  <si>
    <t>Sat 15.02.2020</t>
  </si>
  <si>
    <t>Sat 15.09.2018</t>
  </si>
  <si>
    <t>Sat 16.02.2019</t>
  </si>
  <si>
    <t>Sat 16.08.2025</t>
  </si>
  <si>
    <t>Sat 16.09.2017</t>
  </si>
  <si>
    <t>Sat 16.09.2023</t>
  </si>
  <si>
    <t>Sat 16.12.2023</t>
  </si>
  <si>
    <t>Sat 17.02.2018</t>
  </si>
  <si>
    <t>Sat 17.02.2024</t>
  </si>
  <si>
    <t>Sat 17.08.2024</t>
  </si>
  <si>
    <t>Sat 17.09.2022</t>
  </si>
  <si>
    <t>Sat 18.01.2025</t>
  </si>
  <si>
    <t>Sat 18.08.2018</t>
  </si>
  <si>
    <t>Sat 18.10.2025</t>
  </si>
  <si>
    <t>Girona FC (18.)</t>
  </si>
  <si>
    <t>Sat 18.11.2017</t>
  </si>
  <si>
    <t>Sat 18.12.2021</t>
  </si>
  <si>
    <t>Sat 19.04.2025</t>
  </si>
  <si>
    <t>Sat 19.10.2019</t>
  </si>
  <si>
    <t>Sat 20.04.2019</t>
  </si>
  <si>
    <t>Sat 20.05.2023</t>
  </si>
  <si>
    <t>Sat 20.10.2018</t>
  </si>
  <si>
    <t>Sat 20.11.2021</t>
  </si>
  <si>
    <t>Sat 21.04.2018</t>
  </si>
  <si>
    <t>Sat 21.08.2021</t>
  </si>
  <si>
    <t>Sat 21.09.2019</t>
  </si>
  <si>
    <t>Sat 21.10.2017</t>
  </si>
  <si>
    <t>Sat 21.12.2019</t>
  </si>
  <si>
    <t>Sat 21.12.2024</t>
  </si>
  <si>
    <t>Sat 22.02.2020</t>
  </si>
  <si>
    <t>Sat 22.02.2025</t>
  </si>
  <si>
    <t>Sat 22.12.2018</t>
  </si>
  <si>
    <t>Sat 23.02.2019</t>
  </si>
  <si>
    <t>Sat 23.08.2025</t>
  </si>
  <si>
    <t>Sat 23.09.2017</t>
  </si>
  <si>
    <t>Sat 23.09.2023</t>
  </si>
  <si>
    <t>Sat 23.11.2019</t>
  </si>
  <si>
    <t>Sat 23.11.2024</t>
  </si>
  <si>
    <t>Sat 23.12.2017</t>
  </si>
  <si>
    <t>Sat 24.02.2018</t>
  </si>
  <si>
    <t>Sat 24.02.2024</t>
  </si>
  <si>
    <t>Sat 24.08.2024</t>
  </si>
  <si>
    <t>Sat 24.11.2018</t>
  </si>
  <si>
    <t>Sat 25.01.2020</t>
  </si>
  <si>
    <t>Sat 25.05.2019</t>
  </si>
  <si>
    <t>Sat 25.08.2018</t>
  </si>
  <si>
    <t>Sat 25.11.2023</t>
  </si>
  <si>
    <t>Sat 26.04.2025</t>
  </si>
  <si>
    <t>Sat 26.08.2017</t>
  </si>
  <si>
    <t>Sat 26.10.2024</t>
  </si>
  <si>
    <t>Sat 27.01.2024</t>
  </si>
  <si>
    <t>Sat 27.04.2019</t>
  </si>
  <si>
    <t>Sat 27.11.2021</t>
  </si>
  <si>
    <t>Sat 28.01.2023</t>
  </si>
  <si>
    <t>Sat 28.09.2019</t>
  </si>
  <si>
    <t>Sat 28.09.2024</t>
  </si>
  <si>
    <t>Sat 28.10.2017</t>
  </si>
  <si>
    <t>Sat 28.10.2023</t>
  </si>
  <si>
    <t>Sat 29.04.2023</t>
  </si>
  <si>
    <t>Sat 29.09.2018</t>
  </si>
  <si>
    <t>Sat 29.10.2022</t>
  </si>
  <si>
    <t>Sat 30.03.2019</t>
  </si>
  <si>
    <t>Sat 30.03.2024</t>
  </si>
  <si>
    <t>Sat 30.10.2021</t>
  </si>
  <si>
    <t>Sat 30.11.2024</t>
  </si>
  <si>
    <t>Sat 31.03.2018</t>
  </si>
  <si>
    <t>Sat 31.08.2019</t>
  </si>
  <si>
    <t>Sat 31.08.2024</t>
  </si>
  <si>
    <t>Sat 31.12.2022</t>
  </si>
  <si>
    <t>Sun 01.03.2020</t>
  </si>
  <si>
    <t>Sun 01.05.2022</t>
  </si>
  <si>
    <t>Sun 01.10.2017</t>
  </si>
  <si>
    <t>x</t>
  </si>
  <si>
    <t>Sun 01.12.2019</t>
  </si>
  <si>
    <t>Sun 02.01.2022</t>
  </si>
  <si>
    <t>Sun 02.02.2020</t>
  </si>
  <si>
    <t>Sun 02.02.2025</t>
  </si>
  <si>
    <t>Sun 02.03.2025</t>
  </si>
  <si>
    <t>Sun 02.09.2018</t>
  </si>
  <si>
    <t>Sun 02.11.2025</t>
  </si>
  <si>
    <t>Sun 02.12.2018</t>
  </si>
  <si>
    <t>Sun 03.03.2024</t>
  </si>
  <si>
    <t>Sun 03.04.2022</t>
  </si>
  <si>
    <t>Sun 03.09.2023</t>
  </si>
  <si>
    <t>Sun 03.11.2024</t>
  </si>
  <si>
    <t>Sun 03.12.2023</t>
  </si>
  <si>
    <t>Sun 04.02.2018</t>
  </si>
  <si>
    <t>Sun 04.03.2018</t>
  </si>
  <si>
    <t>Sun 04.06.2023</t>
  </si>
  <si>
    <t>Sun 05.02.2023</t>
  </si>
  <si>
    <t>Sun 05.03.2023</t>
  </si>
  <si>
    <t>Sun 05.10.2025</t>
  </si>
  <si>
    <t>Sun 06.01.2019</t>
  </si>
  <si>
    <t>Sun 06.02.2022</t>
  </si>
  <si>
    <t>Sun 06.03.2022</t>
  </si>
  <si>
    <t>Sun 06.05.2018</t>
  </si>
  <si>
    <t>Sun 06.10.2019</t>
  </si>
  <si>
    <t>Sun 06.10.2024</t>
  </si>
  <si>
    <t>Sun 07.01.2018</t>
  </si>
  <si>
    <t>Sun 07.01.2024</t>
  </si>
  <si>
    <t>Sun 07.10.2018</t>
  </si>
  <si>
    <t>Sun 08.01.2023</t>
  </si>
  <si>
    <t>Sun 08.10.2023</t>
  </si>
  <si>
    <t>Sun 09.02.2020</t>
  </si>
  <si>
    <t>Sun 09.02.2025</t>
  </si>
  <si>
    <t>Sun 09.10.2022</t>
  </si>
  <si>
    <t>Sun 09.11.2025</t>
  </si>
  <si>
    <t>RC Celta (12.)</t>
  </si>
  <si>
    <t>Sun 10.02.2019</t>
  </si>
  <si>
    <t>Sun 10.04.2022</t>
  </si>
  <si>
    <t>Sun 10.11.2024</t>
  </si>
  <si>
    <t>Sun 10.12.2017</t>
  </si>
  <si>
    <t>Sun 10.12.2023</t>
  </si>
  <si>
    <t>Sun 11.02.2018</t>
  </si>
  <si>
    <t>Sun 11.02.2024</t>
  </si>
  <si>
    <t>Sun 11.05.2025</t>
  </si>
  <si>
    <t>Sun 11.11.2018</t>
  </si>
  <si>
    <t>Sun 12.02.2023</t>
  </si>
  <si>
    <t>Sun 12.03.2023</t>
  </si>
  <si>
    <t>Sun 12.05.2019</t>
  </si>
  <si>
    <t>Sun 12.11.2023</t>
  </si>
  <si>
    <t>Sun 12.12.2021</t>
  </si>
  <si>
    <t>Sun 13.01.2019</t>
  </si>
  <si>
    <t>Sun 13.02.2022</t>
  </si>
  <si>
    <t>Sun 13.03.2022</t>
  </si>
  <si>
    <t>Sun 13.05.2018</t>
  </si>
  <si>
    <t>Sun 13.08.2023</t>
  </si>
  <si>
    <t>Sun 14.01.2018</t>
  </si>
  <si>
    <t>Sun 14.05.2023</t>
  </si>
  <si>
    <t>Sun 14.09.2025</t>
  </si>
  <si>
    <t>Sun 15.05.2022</t>
  </si>
  <si>
    <t>Sun 15.08.2021</t>
  </si>
  <si>
    <t>Sun 15.09.2024</t>
  </si>
  <si>
    <t>Sun 15.12.2024</t>
  </si>
  <si>
    <t>Sun 16.03.2025</t>
  </si>
  <si>
    <t>Sun 16.04.2023</t>
  </si>
  <si>
    <t>Sun 16.10.2022</t>
  </si>
  <si>
    <t>Sun 16.12.2018</t>
  </si>
  <si>
    <t>Sun 17.03.2019</t>
  </si>
  <si>
    <t>Sun 17.03.2024</t>
  </si>
  <si>
    <t>Sun 17.10.2021</t>
  </si>
  <si>
    <t>Sun 17.12.2017</t>
  </si>
  <si>
    <t>Sun 18.03.2018</t>
  </si>
  <si>
    <t>Sun 18.05.2025</t>
  </si>
  <si>
    <t>Sun 19.01.2020</t>
  </si>
  <si>
    <t>Sun 19.02.2023</t>
  </si>
  <si>
    <t>Sun 19.03.2023</t>
  </si>
  <si>
    <t>Sun 19.05.2019</t>
  </si>
  <si>
    <t>Sun 19.05.2024</t>
  </si>
  <si>
    <t>Sun 20.01.2019</t>
  </si>
  <si>
    <t>Sun 20.02.2022</t>
  </si>
  <si>
    <t>Sun 20.03.2022</t>
  </si>
  <si>
    <t>Sun 20.05.2018</t>
  </si>
  <si>
    <t>Sun 20.08.2017</t>
  </si>
  <si>
    <t>Sun 20.08.2023</t>
  </si>
  <si>
    <t>Sun 20.10.2024</t>
  </si>
  <si>
    <t>Sun 21.01.2018</t>
  </si>
  <si>
    <t>Sun 21.01.2024</t>
  </si>
  <si>
    <t>Sun 21.04.2024</t>
  </si>
  <si>
    <t>Sun 21.08.2022</t>
  </si>
  <si>
    <t>Sun 21.09.2025</t>
  </si>
  <si>
    <t>Sun 22.01.2023</t>
  </si>
  <si>
    <t>Sun 22.05.2022</t>
  </si>
  <si>
    <t>Sun 22.09.2024</t>
  </si>
  <si>
    <t>Sun 22.10.2023</t>
  </si>
  <si>
    <t>Sun 23.01.2022</t>
  </si>
  <si>
    <t>Sun 23.04.2023</t>
  </si>
  <si>
    <t>Sun 23.09.2018</t>
  </si>
  <si>
    <t>Sun 23.10.2022</t>
  </si>
  <si>
    <t>Sun 24.04.2022</t>
  </si>
  <si>
    <t>Sun 24.10.2021</t>
  </si>
  <si>
    <t>Sun 25.05.2025</t>
  </si>
  <si>
    <t>Sun 25.08.2019</t>
  </si>
  <si>
    <t>Sun 26.01.2025</t>
  </si>
  <si>
    <t>Sun 26.02.2023</t>
  </si>
  <si>
    <t>Sun 26.05.2024</t>
  </si>
  <si>
    <t>Sun 26.09.2021</t>
  </si>
  <si>
    <t>Sun 26.10.2025</t>
  </si>
  <si>
    <t>Sun 26.11.2017</t>
  </si>
  <si>
    <t>Sun 27.01.2019</t>
  </si>
  <si>
    <t>Sun 27.02.2022</t>
  </si>
  <si>
    <t>Sun 27.08.2023</t>
  </si>
  <si>
    <t>Sun 28.01.2018</t>
  </si>
  <si>
    <t>Sun 28.05.2023</t>
  </si>
  <si>
    <t>Sun 28.08.2022</t>
  </si>
  <si>
    <t>Sun 28.09.2025</t>
  </si>
  <si>
    <t>Sun 28.10.2018</t>
  </si>
  <si>
    <t>Sun 29.04.2018</t>
  </si>
  <si>
    <t>Sun 29.08.2021</t>
  </si>
  <si>
    <t>Sun 30.03.2025</t>
  </si>
  <si>
    <t>Sun 31.08.2025</t>
  </si>
  <si>
    <t>Thu 01.02.2018</t>
  </si>
  <si>
    <t>Thu 01.03.2018</t>
  </si>
  <si>
    <t>Thu 02.03.2023</t>
  </si>
  <si>
    <t>Thu 04.01.2018</t>
  </si>
  <si>
    <t>Thu 04.01.2024</t>
  </si>
  <si>
    <t>Thu 06.02.2020</t>
  </si>
  <si>
    <t>Thu 06.02.2025</t>
  </si>
  <si>
    <t>Thu 07.04.2022</t>
  </si>
  <si>
    <t>Thu 08.02.2018</t>
  </si>
  <si>
    <t>Thu 10.01.2019</t>
  </si>
  <si>
    <t>Thu 10.03.2022</t>
  </si>
  <si>
    <t>Thu 11.01.2018</t>
  </si>
  <si>
    <t>Thu 14.04.2022</t>
  </si>
  <si>
    <t>Thu 15.05.2025</t>
  </si>
  <si>
    <t>Thu 16.02.2023</t>
  </si>
  <si>
    <t>Thu 16.05.2024</t>
  </si>
  <si>
    <t>Thu 17.01.2019</t>
  </si>
  <si>
    <t>Thu 17.02.2022</t>
  </si>
  <si>
    <t>Thu 17.03.2022</t>
  </si>
  <si>
    <t>Thu 18.01.2024</t>
  </si>
  <si>
    <t>Thu 19.01.2023</t>
  </si>
  <si>
    <t>Thu 19.09.2024</t>
  </si>
  <si>
    <t>Thu 20.01.2022</t>
  </si>
  <si>
    <t>Thu 20.10.2022</t>
  </si>
  <si>
    <t>Thu 21.04.2022</t>
  </si>
  <si>
    <t>Thu 23.02.2023</t>
  </si>
  <si>
    <t>Thu 23.09.2021</t>
  </si>
  <si>
    <t>Thu 24.02.2022</t>
  </si>
  <si>
    <t>Thu 25.01.2018</t>
  </si>
  <si>
    <t>Thu 25.09.2025</t>
  </si>
  <si>
    <t>Thu 27.03.2025</t>
  </si>
  <si>
    <t>Thu 30.01.2020</t>
  </si>
  <si>
    <t>Tue 01.10.2024</t>
  </si>
  <si>
    <t>Young Boys</t>
  </si>
  <si>
    <t>Tue 01.11.2022</t>
  </si>
  <si>
    <t>Tue 02.04.2019</t>
  </si>
  <si>
    <t>Tue 02.05.2023</t>
  </si>
  <si>
    <t>Tue 02.11.2021</t>
  </si>
  <si>
    <t>Tue 03.12.2024</t>
  </si>
  <si>
    <t>Tue 04.10.2022</t>
  </si>
  <si>
    <t>Tue 05.11.2019</t>
  </si>
  <si>
    <t>Tue 05.12.2017</t>
  </si>
  <si>
    <t>Tue 06.05.2025</t>
  </si>
  <si>
    <t>Tue 06.11.2018</t>
  </si>
  <si>
    <t>Tue 07.05.2019</t>
  </si>
  <si>
    <t>Tue 07.11.2023</t>
  </si>
  <si>
    <t>Tue 08.11.2022</t>
  </si>
  <si>
    <t>Tue 10.04.2018</t>
  </si>
  <si>
    <t>Tue 10.05.2022</t>
  </si>
  <si>
    <t>Tue 10.12.2019</t>
  </si>
  <si>
    <t>Tue 11.03.2025</t>
  </si>
  <si>
    <t>Tue 11.12.2018</t>
  </si>
  <si>
    <t>Tue 12.03.2024</t>
  </si>
  <si>
    <t>Tue 12.09.2017</t>
  </si>
  <si>
    <t>Tue 13.09.2022</t>
  </si>
  <si>
    <t>Tue 14.09.2021</t>
  </si>
  <si>
    <t>Tue 15.04.2025</t>
  </si>
  <si>
    <t>Tue 16.04.2019</t>
  </si>
  <si>
    <t>Tue 16.04.2024</t>
  </si>
  <si>
    <t>Tue 17.04.2018</t>
  </si>
  <si>
    <t>Tue 17.09.2019</t>
  </si>
  <si>
    <t>Tue 18.09.2018</t>
  </si>
  <si>
    <t>Tue 19.02.2019</t>
  </si>
  <si>
    <t>Tue 19.09.2017</t>
  </si>
  <si>
    <t>Tue 19.09.2023</t>
  </si>
  <si>
    <t>Tue 20.02.2018</t>
  </si>
  <si>
    <t>Tue 21.01.2025</t>
  </si>
  <si>
    <t>Tue 21.12.2021</t>
  </si>
  <si>
    <t>Tue 22.04.2025</t>
  </si>
  <si>
    <t>Tue 23.04.2019</t>
  </si>
  <si>
    <t>Tue 23.05.2023</t>
  </si>
  <si>
    <t>Tue 23.11.2021</t>
  </si>
  <si>
    <t>Tue 24.09.2019</t>
  </si>
  <si>
    <t>Tue 24.10.2017</t>
  </si>
  <si>
    <t>Tue 25.02.2020</t>
  </si>
  <si>
    <t>Tue 25.02.2025</t>
  </si>
  <si>
    <t>Tue 26.09.2023</t>
  </si>
  <si>
    <t>Tue 26.11.2024</t>
  </si>
  <si>
    <t>Tue 27.08.2024</t>
  </si>
  <si>
    <t>Tue 28.11.2023</t>
  </si>
  <si>
    <t>Tue 29.10.2019</t>
  </si>
  <si>
    <t>Tue 31.10.2017</t>
  </si>
  <si>
    <t>Wed 01.02.2023</t>
  </si>
  <si>
    <t>Wed 01.05.2019</t>
  </si>
  <si>
    <t>Wed 02.04.2025</t>
  </si>
  <si>
    <t>Wed 02.10.2019</t>
  </si>
  <si>
    <t>Wed 03.10.2018</t>
  </si>
  <si>
    <t>Wed 04.01.2023</t>
  </si>
  <si>
    <t>Wed 04.04.2018</t>
  </si>
  <si>
    <t>Wed 04.10.2023</t>
  </si>
  <si>
    <t>Wed 05.01.2022</t>
  </si>
  <si>
    <t>Wed 05.03.2025</t>
  </si>
  <si>
    <t>Wed 05.04.2023</t>
  </si>
  <si>
    <t>Wed 05.12.2018</t>
  </si>
  <si>
    <t>Wed 06.02.2019</t>
  </si>
  <si>
    <t>Wed 06.11.2024</t>
  </si>
  <si>
    <t>Wed 07.09.2022</t>
  </si>
  <si>
    <t>Wed 08.12.2021</t>
  </si>
  <si>
    <t>Wed 09.04.2025</t>
  </si>
  <si>
    <t>Wed 09.05.2018</t>
  </si>
  <si>
    <t>Wed 10.04.2019</t>
  </si>
  <si>
    <t>Wed 10.04.2024</t>
  </si>
  <si>
    <t>Wed 11.12.2024</t>
  </si>
  <si>
    <t>Wed 12.10.2022</t>
  </si>
  <si>
    <t>Wed 13.03.2019</t>
  </si>
  <si>
    <t>Wed 13.12.2023</t>
  </si>
  <si>
    <t>Wed 14.03.2018</t>
  </si>
  <si>
    <t>Wed 15.01.2025</t>
  </si>
  <si>
    <t>Wed 17.01.2018</t>
  </si>
  <si>
    <t>Wed 18.10.2017</t>
  </si>
  <si>
    <t>Wed 18.12.2019</t>
  </si>
  <si>
    <t>Wed 20.10.2021</t>
  </si>
  <si>
    <t>Wed 20.12.2023</t>
  </si>
  <si>
    <t>Wed 21.02.2024</t>
  </si>
  <si>
    <t>Wed 22.01.2020</t>
  </si>
  <si>
    <t>Wed 22.11.2017</t>
  </si>
  <si>
    <t>Wed 23.01.2019</t>
  </si>
  <si>
    <t>Wed 23.10.2019</t>
  </si>
  <si>
    <t>Wed 23.10.2024</t>
  </si>
  <si>
    <t>Wed 24.01.2024</t>
  </si>
  <si>
    <t>Wed 24.10.2018</t>
  </si>
  <si>
    <t>Wed 25.01.2023</t>
  </si>
  <si>
    <t>Wed 25.09.2024</t>
  </si>
  <si>
    <t>Wed 25.10.2023</t>
  </si>
  <si>
    <t>Wed 26.04.2023</t>
  </si>
  <si>
    <t>Wed 26.09.2018</t>
  </si>
  <si>
    <t>Wed 26.10.2022</t>
  </si>
  <si>
    <t>Wed 27.02.2019</t>
  </si>
  <si>
    <t>Wed 27.09.2017</t>
  </si>
  <si>
    <t>Wed 27.10.2021</t>
  </si>
  <si>
    <t>Wed 27.11.2019</t>
  </si>
  <si>
    <t>Wed 28.11.2018</t>
  </si>
  <si>
    <t>Wed 29.01.2025</t>
  </si>
  <si>
    <t>Wed 29.09.2021</t>
  </si>
  <si>
    <t>Wed 29.11.2017</t>
  </si>
  <si>
    <t>Wed 30.01.2019</t>
  </si>
  <si>
    <t>Wed 30.04.2025</t>
  </si>
  <si>
    <t>Wed 31.01.2024</t>
  </si>
  <si>
    <t>Wed 31.10.2018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</si>
</sst>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]hh:mm"/>
    <numFmt numFmtId="165" formatCode="dd/MM/yyyy"/>
    <numFmt numFmtId="166" formatCode="dd/mm/yyyy"/>
    <numFmt numFmtId="167" formatCode="d/m/yyyy"/>
    <numFmt numFmtId="168" formatCode="d-m-yyyy"/>
    <numFmt numFmtId="169" formatCode="dd.mm.yyyy"/>
    <numFmt numFmtId="170" formatCode="d.m.yyyy"/>
  </numFmts>
  <fonts count="22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rial"/>
    </font>
    <font>
      <sz val="12.0"/>
      <color rgb="FF57585A"/>
      <name val="Arial"/>
    </font>
    <font>
      <b/>
      <sz val="12.0"/>
      <color rgb="FF57585A"/>
      <name val="Arial"/>
    </font>
    <font>
      <sz val="11.0"/>
      <color rgb="FF57585A"/>
      <name val="Arial"/>
    </font>
    <font>
      <sz val="12.0"/>
      <color rgb="FF467886"/>
      <name val="Arial"/>
    </font>
    <font>
      <u/>
      <sz val="12.0"/>
      <color theme="10"/>
      <name val="Aptos Narrow"/>
    </font>
    <font>
      <u/>
      <sz val="12.0"/>
      <color theme="10"/>
      <name val="Aptos Narrow"/>
    </font>
    <font>
      <u/>
      <sz val="12.0"/>
      <color theme="10"/>
      <name val="Aptos Narrow"/>
    </font>
    <font>
      <u/>
      <sz val="12.0"/>
      <color theme="10"/>
      <name val="Aptos Narrow"/>
    </font>
    <font>
      <sz val="9.0"/>
      <color rgb="FF57585A"/>
      <name val="&quot;Source Sans Pro&quot;"/>
    </font>
    <font>
      <b/>
      <sz val="9.0"/>
      <color rgb="FF57585A"/>
      <name val="&quot;Source Sans Pro&quot;"/>
    </font>
    <font>
      <sz val="8.0"/>
      <color rgb="FF57585A"/>
      <name val="&quot;Source Sans Pro&quot;"/>
    </font>
    <font>
      <b/>
      <u/>
      <sz val="9.0"/>
      <color rgb="FF0000FF"/>
      <name val="&quot;Source Sans Pro&quot;"/>
    </font>
    <font>
      <u/>
      <sz val="9.0"/>
      <color rgb="FF0000FF"/>
      <name val="&quot;Source Sans Pro&quot;"/>
    </font>
    <font>
      <b/>
      <u/>
      <sz val="9.0"/>
      <color rgb="FF0000FF"/>
      <name val="&quot;Source Sans Pro&quot;"/>
    </font>
    <font>
      <b/>
      <u/>
      <sz val="9.0"/>
      <color rgb="FF0000FF"/>
      <name val="&quot;Source Sans Pro&quot;"/>
    </font>
    <font>
      <b/>
      <sz val="9.0"/>
      <color theme="1"/>
      <name val="&quot;Source Sans Pro&quot;"/>
    </font>
    <font>
      <b/>
      <u/>
      <sz val="9.0"/>
      <color rgb="FF46788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top style="thin">
        <color rgb="FFE4E4E4"/>
      </top>
      <bottom style="thin">
        <color rgb="FFE4E4E4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2" fontId="2" numFmtId="0" xfId="0" applyFont="1"/>
    <xf borderId="0" fillId="2" fontId="3" numFmtId="164" xfId="0" applyFont="1" applyNumberFormat="1"/>
    <xf borderId="0" fillId="0" fontId="0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1" numFmtId="0" xfId="0" applyFont="1"/>
    <xf borderId="0" fillId="0" fontId="5" numFmtId="165" xfId="0" applyAlignment="1" applyFont="1" applyNumberFormat="1">
      <alignment horizontal="right" readingOrder="0"/>
    </xf>
    <xf borderId="0" fillId="0" fontId="5" numFmtId="165" xfId="0" applyAlignment="1" applyFont="1" applyNumberFormat="1">
      <alignment horizontal="right"/>
    </xf>
    <xf borderId="0" fillId="0" fontId="5" numFmtId="164" xfId="0" applyAlignment="1" applyFont="1" applyNumberFormat="1">
      <alignment readingOrder="0"/>
    </xf>
    <xf borderId="0" fillId="0" fontId="6" numFmtId="0" xfId="0" applyAlignment="1" applyFont="1">
      <alignment horizontal="center" readingOrder="0"/>
    </xf>
    <xf borderId="0" fillId="0" fontId="7" numFmtId="0" xfId="0" applyFont="1"/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0" fillId="0" fontId="8" numFmtId="20" xfId="0" applyAlignment="1" applyFont="1" applyNumberFormat="1">
      <alignment readingOrder="0"/>
    </xf>
    <xf quotePrefix="1" borderId="0" fillId="0" fontId="3" numFmtId="0" xfId="0" applyFont="1"/>
    <xf borderId="0" fillId="0" fontId="5" numFmtId="0" xfId="0" applyAlignment="1" applyFont="1">
      <alignment horizontal="right" readingOrder="0"/>
    </xf>
    <xf borderId="0" fillId="0" fontId="5" numFmtId="166" xfId="0" applyAlignment="1" applyFont="1" applyNumberFormat="1">
      <alignment horizontal="right" readingOrder="0"/>
    </xf>
    <xf borderId="0" fillId="0" fontId="7" numFmtId="0" xfId="0" applyAlignment="1" applyFont="1">
      <alignment readingOrder="0"/>
    </xf>
    <xf borderId="0" fillId="0" fontId="5" numFmtId="167" xfId="0" applyAlignment="1" applyFont="1" applyNumberFormat="1">
      <alignment horizontal="right" readingOrder="0"/>
    </xf>
    <xf borderId="0" fillId="0" fontId="5" numFmtId="164" xfId="0" applyFont="1" applyNumberFormat="1"/>
    <xf borderId="0" fillId="0" fontId="6" numFmtId="0" xfId="0" applyAlignment="1" applyFont="1">
      <alignment horizontal="center"/>
    </xf>
    <xf borderId="0" fillId="0" fontId="5" numFmtId="0" xfId="0" applyFont="1"/>
    <xf borderId="0" fillId="0" fontId="5" numFmtId="3" xfId="0" applyFont="1" applyNumberFormat="1"/>
    <xf borderId="0" fillId="0" fontId="9" numFmtId="20" xfId="0" applyFont="1" applyNumberFormat="1"/>
    <xf borderId="0" fillId="0" fontId="6" numFmtId="3" xfId="0" applyFont="1" applyNumberFormat="1"/>
    <xf borderId="0" fillId="0" fontId="10" numFmtId="0" xfId="0" applyFont="1"/>
    <xf borderId="0" fillId="3" fontId="1" numFmtId="0" xfId="0" applyFill="1" applyFont="1"/>
    <xf borderId="0" fillId="3" fontId="5" numFmtId="164" xfId="0" applyFont="1" applyNumberFormat="1"/>
    <xf borderId="0" fillId="3" fontId="6" numFmtId="0" xfId="0" applyAlignment="1" applyFont="1">
      <alignment horizontal="center"/>
    </xf>
    <xf borderId="0" fillId="3" fontId="7" numFmtId="0" xfId="0" applyFont="1"/>
    <xf borderId="0" fillId="3" fontId="5" numFmtId="0" xfId="0" applyFont="1"/>
    <xf borderId="0" fillId="3" fontId="5" numFmtId="3" xfId="0" applyFont="1" applyNumberFormat="1"/>
    <xf borderId="0" fillId="3" fontId="11" numFmtId="20" xfId="0" applyFont="1" applyNumberFormat="1"/>
    <xf quotePrefix="1" borderId="0" fillId="3" fontId="3" numFmtId="0" xfId="0" applyFont="1"/>
    <xf borderId="0" fillId="4" fontId="1" numFmtId="0" xfId="0" applyFill="1" applyFont="1"/>
    <xf borderId="0" fillId="4" fontId="5" numFmtId="164" xfId="0" applyFont="1" applyNumberFormat="1"/>
    <xf borderId="0" fillId="4" fontId="6" numFmtId="0" xfId="0" applyAlignment="1" applyFont="1">
      <alignment horizontal="center"/>
    </xf>
    <xf borderId="0" fillId="4" fontId="7" numFmtId="0" xfId="0" applyFont="1"/>
    <xf borderId="0" fillId="4" fontId="5" numFmtId="0" xfId="0" applyFont="1"/>
    <xf borderId="0" fillId="4" fontId="5" numFmtId="3" xfId="0" applyFont="1" applyNumberFormat="1"/>
    <xf borderId="0" fillId="4" fontId="12" numFmtId="20" xfId="0" applyFont="1" applyNumberFormat="1"/>
    <xf quotePrefix="1" borderId="0" fillId="4" fontId="3" numFmtId="0" xfId="0" applyFont="1"/>
    <xf borderId="0" fillId="0" fontId="5" numFmtId="14" xfId="0" applyFont="1" applyNumberFormat="1"/>
    <xf borderId="1" fillId="3" fontId="13" numFmtId="0" xfId="0" applyAlignment="1" applyBorder="1" applyFont="1">
      <alignment horizontal="center" readingOrder="0"/>
    </xf>
    <xf borderId="1" fillId="3" fontId="14" numFmtId="0" xfId="0" applyAlignment="1" applyBorder="1" applyFont="1">
      <alignment horizontal="center" readingOrder="0"/>
    </xf>
    <xf borderId="1" fillId="3" fontId="15" numFmtId="0" xfId="0" applyAlignment="1" applyBorder="1" applyFont="1">
      <alignment horizontal="center" readingOrder="0"/>
    </xf>
    <xf borderId="2" fillId="0" fontId="16" numFmtId="0" xfId="0" applyAlignment="1" applyBorder="1" applyFont="1">
      <alignment horizontal="left" readingOrder="0"/>
    </xf>
    <xf borderId="1" fillId="3" fontId="13" numFmtId="3" xfId="0" applyAlignment="1" applyBorder="1" applyFont="1" applyNumberFormat="1">
      <alignment horizontal="right" readingOrder="0"/>
    </xf>
    <xf borderId="0" fillId="0" fontId="1" numFmtId="0" xfId="0" applyAlignment="1" applyFont="1">
      <alignment horizontal="right"/>
    </xf>
    <xf borderId="2" fillId="0" fontId="17" numFmtId="0" xfId="0" applyAlignment="1" applyBorder="1" applyFont="1">
      <alignment horizontal="center" readingOrder="0"/>
    </xf>
    <xf borderId="2" fillId="0" fontId="18" numFmtId="0" xfId="0" applyAlignment="1" applyBorder="1" applyFont="1">
      <alignment horizontal="left" readingOrder="0"/>
    </xf>
    <xf borderId="3" fillId="0" fontId="19" numFmtId="0" xfId="0" applyAlignment="1" applyBorder="1" applyFont="1">
      <alignment horizontal="center" readingOrder="0" shrinkToFit="0" wrapText="0"/>
    </xf>
    <xf borderId="1" fillId="3" fontId="13" numFmtId="168" xfId="0" applyAlignment="1" applyBorder="1" applyFont="1" applyNumberFormat="1">
      <alignment horizontal="center" readingOrder="0"/>
    </xf>
    <xf borderId="1" fillId="3" fontId="14" numFmtId="3" xfId="0" applyAlignment="1" applyBorder="1" applyFont="1" applyNumberFormat="1">
      <alignment horizontal="right" readingOrder="0"/>
    </xf>
    <xf borderId="2" fillId="0" fontId="20" numFmtId="0" xfId="0" applyAlignment="1" applyBorder="1" applyFont="1">
      <alignment horizontal="left" readingOrder="0"/>
    </xf>
    <xf borderId="2" fillId="3" fontId="13" numFmtId="0" xfId="0" applyAlignment="1" applyBorder="1" applyFont="1">
      <alignment horizontal="center" readingOrder="0"/>
    </xf>
    <xf borderId="0" fillId="0" fontId="13" numFmtId="20" xfId="0" applyAlignment="1" applyFont="1" applyNumberFormat="1">
      <alignment horizontal="right" readingOrder="0" shrinkToFit="0" vertical="bottom" wrapText="0"/>
    </xf>
    <xf borderId="3" fillId="0" fontId="21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horizontal="right" readingOrder="0"/>
    </xf>
    <xf borderId="0" fillId="0" fontId="3" numFmtId="164" xfId="0" applyFont="1" applyNumberFormat="1"/>
    <xf borderId="0" fillId="0" fontId="5" numFmtId="169" xfId="0" applyAlignment="1" applyFont="1" applyNumberFormat="1">
      <alignment horizontal="center" readingOrder="0"/>
    </xf>
    <xf borderId="0" fillId="3" fontId="14" numFmtId="0" xfId="0" applyAlignment="1" applyFont="1">
      <alignment horizontal="center" readingOrder="0"/>
    </xf>
    <xf borderId="0" fillId="0" fontId="5" numFmtId="170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3" fontId="6" numFmtId="0" xfId="0" applyFont="1"/>
    <xf borderId="0" fillId="4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transfermarkt.com/spielbericht/index/spielbericht/3610321" TargetMode="External"/><Relationship Id="rId194" Type="http://schemas.openxmlformats.org/officeDocument/2006/relationships/hyperlink" Target="https://www.transfermarkt.com/spielbericht/index/spielbericht/3610409" TargetMode="External"/><Relationship Id="rId193" Type="http://schemas.openxmlformats.org/officeDocument/2006/relationships/hyperlink" Target="https://www.transfermarkt.com/spielbericht/index/spielbericht/3610371" TargetMode="External"/><Relationship Id="rId192" Type="http://schemas.openxmlformats.org/officeDocument/2006/relationships/hyperlink" Target="https://www.transfermarkt.com/spielbericht/index/spielbericht/3610368" TargetMode="External"/><Relationship Id="rId191" Type="http://schemas.openxmlformats.org/officeDocument/2006/relationships/hyperlink" Target="https://www.transfermarkt.com/spielbericht/index/spielbericht/3610344" TargetMode="External"/><Relationship Id="rId187" Type="http://schemas.openxmlformats.org/officeDocument/2006/relationships/hyperlink" Target="https://www.transfermarkt.com/spielbericht/index/spielbericht/3607620" TargetMode="External"/><Relationship Id="rId186" Type="http://schemas.openxmlformats.org/officeDocument/2006/relationships/hyperlink" Target="https://www.transfermarkt.com/spielbericht/index/spielbericht/3607612" TargetMode="External"/><Relationship Id="rId185" Type="http://schemas.openxmlformats.org/officeDocument/2006/relationships/hyperlink" Target="https://www.transfermarkt.com/spielbericht/index/spielbericht/3607600" TargetMode="External"/><Relationship Id="rId184" Type="http://schemas.openxmlformats.org/officeDocument/2006/relationships/hyperlink" Target="https://www.transfermarkt.com/spielbericht/index/spielbericht/3607595" TargetMode="External"/><Relationship Id="rId189" Type="http://schemas.openxmlformats.org/officeDocument/2006/relationships/hyperlink" Target="https://www.transfermarkt.com/spielbericht/index/spielbericht/3610290" TargetMode="External"/><Relationship Id="rId188" Type="http://schemas.openxmlformats.org/officeDocument/2006/relationships/hyperlink" Target="https://www.transfermarkt.com/spielbericht/index/spielbericht/3610272" TargetMode="External"/><Relationship Id="rId183" Type="http://schemas.openxmlformats.org/officeDocument/2006/relationships/hyperlink" Target="https://www.transfermarkt.com/spielbericht/index/spielbericht/3607572" TargetMode="External"/><Relationship Id="rId182" Type="http://schemas.openxmlformats.org/officeDocument/2006/relationships/hyperlink" Target="https://www.transfermarkt.com/spielbericht/index/spielbericht/3607570" TargetMode="External"/><Relationship Id="rId181" Type="http://schemas.openxmlformats.org/officeDocument/2006/relationships/hyperlink" Target="https://www.transfermarkt.com/spielbericht/index/spielbericht/3607552" TargetMode="External"/><Relationship Id="rId180" Type="http://schemas.openxmlformats.org/officeDocument/2006/relationships/hyperlink" Target="https://www.transfermarkt.com/spielbericht/index/spielbericht/3607544" TargetMode="External"/><Relationship Id="rId176" Type="http://schemas.openxmlformats.org/officeDocument/2006/relationships/hyperlink" Target="https://www.transfermarkt.com/spielbericht/index/spielbericht/3605305" TargetMode="External"/><Relationship Id="rId175" Type="http://schemas.openxmlformats.org/officeDocument/2006/relationships/hyperlink" Target="https://www.transfermarkt.com/spielbericht/index/spielbericht/3605295" TargetMode="External"/><Relationship Id="rId174" Type="http://schemas.openxmlformats.org/officeDocument/2006/relationships/hyperlink" Target="https://www.transfermarkt.com/spielbericht/index/spielbericht/3605277" TargetMode="External"/><Relationship Id="rId173" Type="http://schemas.openxmlformats.org/officeDocument/2006/relationships/hyperlink" Target="https://www.transfermarkt.com/spielbericht/index/spielbericht/3605216" TargetMode="External"/><Relationship Id="rId179" Type="http://schemas.openxmlformats.org/officeDocument/2006/relationships/hyperlink" Target="https://www.transfermarkt.com/spielbericht/index/spielbericht/3607532" TargetMode="External"/><Relationship Id="rId178" Type="http://schemas.openxmlformats.org/officeDocument/2006/relationships/hyperlink" Target="https://www.transfermarkt.com/spielbericht/index/spielbericht/3607529" TargetMode="External"/><Relationship Id="rId177" Type="http://schemas.openxmlformats.org/officeDocument/2006/relationships/hyperlink" Target="https://www.transfermarkt.com/spielbericht/index/spielbericht/3605324" TargetMode="External"/><Relationship Id="rId198" Type="http://schemas.openxmlformats.org/officeDocument/2006/relationships/hyperlink" Target="https://www.transfermarkt.com/spielbericht/index/spielbericht/3611442" TargetMode="External"/><Relationship Id="rId197" Type="http://schemas.openxmlformats.org/officeDocument/2006/relationships/hyperlink" Target="https://www.transfermarkt.com/spielbericht/index/spielbericht/3610570" TargetMode="External"/><Relationship Id="rId196" Type="http://schemas.openxmlformats.org/officeDocument/2006/relationships/hyperlink" Target="https://www.transfermarkt.com/spielbericht/index/spielbericht/3610564" TargetMode="External"/><Relationship Id="rId195" Type="http://schemas.openxmlformats.org/officeDocument/2006/relationships/hyperlink" Target="https://www.transfermarkt.com/spielbericht/index/spielbericht/3610431" TargetMode="External"/><Relationship Id="rId199" Type="http://schemas.openxmlformats.org/officeDocument/2006/relationships/hyperlink" Target="https://www.transfermarkt.com/spielbericht/index/spielbericht/3611452" TargetMode="External"/><Relationship Id="rId150" Type="http://schemas.openxmlformats.org/officeDocument/2006/relationships/hyperlink" Target="https://www.transfermarkt.com/spielbericht/index/spielbericht/3886674" TargetMode="External"/><Relationship Id="rId392" Type="http://schemas.openxmlformats.org/officeDocument/2006/relationships/hyperlink" Target="https://www.transfermarkt.com/spielbericht/index/spielbericht/2718777" TargetMode="External"/><Relationship Id="rId391" Type="http://schemas.openxmlformats.org/officeDocument/2006/relationships/hyperlink" Target="https://www.transfermarkt.com/celta-vigo/startseite/verein/940/saison_id/2016" TargetMode="External"/><Relationship Id="rId390" Type="http://schemas.openxmlformats.org/officeDocument/2006/relationships/hyperlink" Target="https://www.transfermarkt.com/test/spieltag/wettbewerb/ES1/saison_id/2016/spieltag/7" TargetMode="External"/><Relationship Id="rId1" Type="http://schemas.openxmlformats.org/officeDocument/2006/relationships/hyperlink" Target="https://www.transfermarkt.com/spielbericht/index/spielbericht/4645608" TargetMode="External"/><Relationship Id="rId2" Type="http://schemas.openxmlformats.org/officeDocument/2006/relationships/hyperlink" Target="https://www.transfermarkt.com/spielbericht/index/spielbericht/4645522" TargetMode="External"/><Relationship Id="rId3" Type="http://schemas.openxmlformats.org/officeDocument/2006/relationships/hyperlink" Target="https://www.transfermarkt.com/spielbericht/index/spielbericht/4645534" TargetMode="External"/><Relationship Id="rId149" Type="http://schemas.openxmlformats.org/officeDocument/2006/relationships/hyperlink" Target="https://www.transfermarkt.com/spielbericht/index/spielbericht/3886662" TargetMode="External"/><Relationship Id="rId4" Type="http://schemas.openxmlformats.org/officeDocument/2006/relationships/hyperlink" Target="https://www.transfermarkt.com/spielbericht/index/spielbericht/4645567" TargetMode="External"/><Relationship Id="rId148" Type="http://schemas.openxmlformats.org/officeDocument/2006/relationships/hyperlink" Target="https://www.transfermarkt.com/spielbericht/index/spielbericht/3886650" TargetMode="External"/><Relationship Id="rId9" Type="http://schemas.openxmlformats.org/officeDocument/2006/relationships/hyperlink" Target="https://www.transfermarkt.com/spielbericht/index/spielbericht/4361561" TargetMode="External"/><Relationship Id="rId143" Type="http://schemas.openxmlformats.org/officeDocument/2006/relationships/hyperlink" Target="https://www.transfermarkt.com/spielbericht/index/spielbericht/3886605" TargetMode="External"/><Relationship Id="rId385" Type="http://schemas.openxmlformats.org/officeDocument/2006/relationships/hyperlink" Target="https://www.transfermarkt.com/atletico-madrid/startseite/verein/13/saison_id/2016" TargetMode="External"/><Relationship Id="rId142" Type="http://schemas.openxmlformats.org/officeDocument/2006/relationships/hyperlink" Target="https://www.transfermarkt.com/spielbericht/index/spielbericht/3886591" TargetMode="External"/><Relationship Id="rId384" Type="http://schemas.openxmlformats.org/officeDocument/2006/relationships/hyperlink" Target="https://www.transfermarkt.com/test/spieltag/wettbewerb/ES1/saison_id/2016/spieltag/5" TargetMode="External"/><Relationship Id="rId141" Type="http://schemas.openxmlformats.org/officeDocument/2006/relationships/hyperlink" Target="https://www.transfermarkt.com/spielbericht/index/spielbericht/3886580" TargetMode="External"/><Relationship Id="rId383" Type="http://schemas.openxmlformats.org/officeDocument/2006/relationships/hyperlink" Target="https://www.transfermarkt.com/spielbericht/index/spielbericht/2718746" TargetMode="External"/><Relationship Id="rId140" Type="http://schemas.openxmlformats.org/officeDocument/2006/relationships/hyperlink" Target="https://www.transfermarkt.com/spielbericht/index/spielbericht/3886570" TargetMode="External"/><Relationship Id="rId382" Type="http://schemas.openxmlformats.org/officeDocument/2006/relationships/hyperlink" Target="https://www.transfermarkt.com/cd-leganes/startseite/verein/1244/saison_id/2016" TargetMode="External"/><Relationship Id="rId5" Type="http://schemas.openxmlformats.org/officeDocument/2006/relationships/hyperlink" Target="https://www.transfermarkt.com/spielbericht/index/spielbericht/4645486" TargetMode="External"/><Relationship Id="rId147" Type="http://schemas.openxmlformats.org/officeDocument/2006/relationships/hyperlink" Target="https://www.transfermarkt.com/spielbericht/index/spielbericht/3886647" TargetMode="External"/><Relationship Id="rId389" Type="http://schemas.openxmlformats.org/officeDocument/2006/relationships/hyperlink" Target="https://www.transfermarkt.com/spielbericht/index/spielbericht/2718767" TargetMode="External"/><Relationship Id="rId6" Type="http://schemas.openxmlformats.org/officeDocument/2006/relationships/hyperlink" Target="https://www.transfermarkt.com/spielbericht/index/spielbericht/4645542" TargetMode="External"/><Relationship Id="rId146" Type="http://schemas.openxmlformats.org/officeDocument/2006/relationships/hyperlink" Target="https://www.transfermarkt.com/spielbericht/index/spielbericht/3886633" TargetMode="External"/><Relationship Id="rId388" Type="http://schemas.openxmlformats.org/officeDocument/2006/relationships/hyperlink" Target="https://www.transfermarkt.com/sporting-gijon/startseite/verein/2448/saison_id/2016" TargetMode="External"/><Relationship Id="rId7" Type="http://schemas.openxmlformats.org/officeDocument/2006/relationships/hyperlink" Target="https://www.transfermarkt.com/spielbericht/index/spielbericht/4645577" TargetMode="External"/><Relationship Id="rId145" Type="http://schemas.openxmlformats.org/officeDocument/2006/relationships/hyperlink" Target="https://www.transfermarkt.com/spielbericht/index/spielbericht/3886625" TargetMode="External"/><Relationship Id="rId387" Type="http://schemas.openxmlformats.org/officeDocument/2006/relationships/hyperlink" Target="https://www.transfermarkt.com/test/spieltag/wettbewerb/ES1/saison_id/2016/spieltag/6" TargetMode="External"/><Relationship Id="rId8" Type="http://schemas.openxmlformats.org/officeDocument/2006/relationships/hyperlink" Target="https://www.transfermarkt.com/spielbericht/index/spielbericht/4361550" TargetMode="External"/><Relationship Id="rId144" Type="http://schemas.openxmlformats.org/officeDocument/2006/relationships/hyperlink" Target="https://www.transfermarkt.com/spielbericht/index/spielbericht/3886610" TargetMode="External"/><Relationship Id="rId386" Type="http://schemas.openxmlformats.org/officeDocument/2006/relationships/hyperlink" Target="https://www.transfermarkt.com/spielbericht/index/spielbericht/2718756" TargetMode="External"/><Relationship Id="rId381" Type="http://schemas.openxmlformats.org/officeDocument/2006/relationships/hyperlink" Target="https://www.transfermarkt.com/test/spieltag/wettbewerb/ES1/saison_id/2016/spieltag/4" TargetMode="External"/><Relationship Id="rId380" Type="http://schemas.openxmlformats.org/officeDocument/2006/relationships/hyperlink" Target="https://www.transfermarkt.com/spielbericht/index/spielbericht/2718735" TargetMode="External"/><Relationship Id="rId139" Type="http://schemas.openxmlformats.org/officeDocument/2006/relationships/hyperlink" Target="https://www.transfermarkt.com/spielbericht/index/spielbericht/3886563" TargetMode="External"/><Relationship Id="rId138" Type="http://schemas.openxmlformats.org/officeDocument/2006/relationships/hyperlink" Target="https://www.transfermarkt.com/spielbericht/index/spielbericht/3886549" TargetMode="External"/><Relationship Id="rId137" Type="http://schemas.openxmlformats.org/officeDocument/2006/relationships/hyperlink" Target="https://www.transfermarkt.com/spielbericht/index/spielbericht/3886536" TargetMode="External"/><Relationship Id="rId379" Type="http://schemas.openxmlformats.org/officeDocument/2006/relationships/hyperlink" Target="https://www.transfermarkt.com/deportivo-alaves/startseite/verein/1108/saison_id/2016" TargetMode="External"/><Relationship Id="rId132" Type="http://schemas.openxmlformats.org/officeDocument/2006/relationships/hyperlink" Target="https://www.transfermarkt.com/spielbericht/index/spielbericht/3886481" TargetMode="External"/><Relationship Id="rId374" Type="http://schemas.openxmlformats.org/officeDocument/2006/relationships/hyperlink" Target="https://www.transfermarkt.com/spielbericht/index/spielbericht/2718711" TargetMode="External"/><Relationship Id="rId131" Type="http://schemas.openxmlformats.org/officeDocument/2006/relationships/hyperlink" Target="https://www.transfermarkt.com/spielbericht/index/spielbericht/3886464" TargetMode="External"/><Relationship Id="rId373" Type="http://schemas.openxmlformats.org/officeDocument/2006/relationships/hyperlink" Target="https://www.transfermarkt.com/real-betis-sevilla/startseite/verein/150/saison_id/2016" TargetMode="External"/><Relationship Id="rId130" Type="http://schemas.openxmlformats.org/officeDocument/2006/relationships/hyperlink" Target="https://www.transfermarkt.com/spielbericht/index/spielbericht/3886451" TargetMode="External"/><Relationship Id="rId372" Type="http://schemas.openxmlformats.org/officeDocument/2006/relationships/hyperlink" Target="https://www.transfermarkt.com/spielbericht/index/spielbericht/3000614" TargetMode="External"/><Relationship Id="rId371" Type="http://schemas.openxmlformats.org/officeDocument/2006/relationships/hyperlink" Target="https://www.transfermarkt.com/spielbericht/index/spielbericht/2993262" TargetMode="External"/><Relationship Id="rId136" Type="http://schemas.openxmlformats.org/officeDocument/2006/relationships/hyperlink" Target="https://www.transfermarkt.com/spielbericht/index/spielbericht/3886522" TargetMode="External"/><Relationship Id="rId378" Type="http://schemas.openxmlformats.org/officeDocument/2006/relationships/hyperlink" Target="https://www.transfermarkt.com/test/spieltag/wettbewerb/ES1/saison_id/2016/spieltag/3" TargetMode="External"/><Relationship Id="rId135" Type="http://schemas.openxmlformats.org/officeDocument/2006/relationships/hyperlink" Target="https://www.transfermarkt.com/spielbericht/index/spielbericht/3886515" TargetMode="External"/><Relationship Id="rId377" Type="http://schemas.openxmlformats.org/officeDocument/2006/relationships/hyperlink" Target="https://www.transfermarkt.com/spielbericht/index/spielbericht/2718725" TargetMode="External"/><Relationship Id="rId134" Type="http://schemas.openxmlformats.org/officeDocument/2006/relationships/hyperlink" Target="https://www.transfermarkt.com/spielbericht/index/spielbericht/3886502" TargetMode="External"/><Relationship Id="rId376" Type="http://schemas.openxmlformats.org/officeDocument/2006/relationships/hyperlink" Target="https://www.transfermarkt.com/athletic-bilbao/startseite/verein/621/saison_id/2016" TargetMode="External"/><Relationship Id="rId133" Type="http://schemas.openxmlformats.org/officeDocument/2006/relationships/hyperlink" Target="https://www.transfermarkt.com/spielbericht/index/spielbericht/3886496" TargetMode="External"/><Relationship Id="rId375" Type="http://schemas.openxmlformats.org/officeDocument/2006/relationships/hyperlink" Target="https://www.transfermarkt.com/test/spieltag/wettbewerb/ES1/saison_id/2016/spieltag/2" TargetMode="External"/><Relationship Id="rId172" Type="http://schemas.openxmlformats.org/officeDocument/2006/relationships/hyperlink" Target="https://www.transfermarkt.com/spielbericht/index/spielbericht/3605206" TargetMode="External"/><Relationship Id="rId171" Type="http://schemas.openxmlformats.org/officeDocument/2006/relationships/hyperlink" Target="https://www.transfermarkt.com/spielbericht/index/spielbericht/3605202" TargetMode="External"/><Relationship Id="rId170" Type="http://schemas.openxmlformats.org/officeDocument/2006/relationships/hyperlink" Target="https://www.transfermarkt.com/spielbericht/index/spielbericht/3605059" TargetMode="External"/><Relationship Id="rId165" Type="http://schemas.openxmlformats.org/officeDocument/2006/relationships/hyperlink" Target="https://www.transfermarkt.com/spielbericht/index/spielbericht/4004792" TargetMode="External"/><Relationship Id="rId164" Type="http://schemas.openxmlformats.org/officeDocument/2006/relationships/hyperlink" Target="https://www.transfermarkt.com/spielbericht/index/spielbericht/3997409" TargetMode="External"/><Relationship Id="rId163" Type="http://schemas.openxmlformats.org/officeDocument/2006/relationships/hyperlink" Target="https://www.transfermarkt.com/spielbericht/index/spielbericht/3989534" TargetMode="External"/><Relationship Id="rId162" Type="http://schemas.openxmlformats.org/officeDocument/2006/relationships/hyperlink" Target="https://www.transfermarkt.com/spielbericht/index/spielbericht/3956716" TargetMode="External"/><Relationship Id="rId169" Type="http://schemas.openxmlformats.org/officeDocument/2006/relationships/hyperlink" Target="https://www.transfermarkt.com/spielbericht/index/spielbericht/3605049" TargetMode="External"/><Relationship Id="rId168" Type="http://schemas.openxmlformats.org/officeDocument/2006/relationships/hyperlink" Target="https://www.transfermarkt.com/spielbericht/index/spielbericht/3605039" TargetMode="External"/><Relationship Id="rId167" Type="http://schemas.openxmlformats.org/officeDocument/2006/relationships/hyperlink" Target="https://www.transfermarkt.com/spielbericht/index/spielbericht/4017422" TargetMode="External"/><Relationship Id="rId166" Type="http://schemas.openxmlformats.org/officeDocument/2006/relationships/hyperlink" Target="https://www.transfermarkt.com/spielbericht/index/spielbericht/4017421" TargetMode="External"/><Relationship Id="rId161" Type="http://schemas.openxmlformats.org/officeDocument/2006/relationships/hyperlink" Target="https://www.transfermarkt.com/spielbericht/index/spielbericht/3956708" TargetMode="External"/><Relationship Id="rId160" Type="http://schemas.openxmlformats.org/officeDocument/2006/relationships/hyperlink" Target="https://www.transfermarkt.com/spielbericht/index/spielbericht/3911763" TargetMode="External"/><Relationship Id="rId159" Type="http://schemas.openxmlformats.org/officeDocument/2006/relationships/hyperlink" Target="https://www.transfermarkt.com/spielbericht/index/spielbericht/3911756" TargetMode="External"/><Relationship Id="rId154" Type="http://schemas.openxmlformats.org/officeDocument/2006/relationships/hyperlink" Target="https://www.transfermarkt.com/spielbericht/index/spielbericht/3844553" TargetMode="External"/><Relationship Id="rId396" Type="http://schemas.openxmlformats.org/officeDocument/2006/relationships/hyperlink" Target="https://www.transfermarkt.com/test/spieltag/wettbewerb/ES1/saison_id/2016/spieltag/9" TargetMode="External"/><Relationship Id="rId153" Type="http://schemas.openxmlformats.org/officeDocument/2006/relationships/hyperlink" Target="https://www.transfermarkt.com/spielbericht/index/spielbericht/3886702" TargetMode="External"/><Relationship Id="rId395" Type="http://schemas.openxmlformats.org/officeDocument/2006/relationships/hyperlink" Target="https://www.transfermarkt.com/spielbericht/index/spielbericht/2718787" TargetMode="External"/><Relationship Id="rId152" Type="http://schemas.openxmlformats.org/officeDocument/2006/relationships/hyperlink" Target="https://www.transfermarkt.com/spielbericht/index/spielbericht/3886696" TargetMode="External"/><Relationship Id="rId394" Type="http://schemas.openxmlformats.org/officeDocument/2006/relationships/hyperlink" Target="https://www.transfermarkt.com/deportivo-la-coruna/startseite/verein/897/saison_id/2016" TargetMode="External"/><Relationship Id="rId151" Type="http://schemas.openxmlformats.org/officeDocument/2006/relationships/hyperlink" Target="https://www.transfermarkt.com/spielbericht/index/spielbericht/3886682" TargetMode="External"/><Relationship Id="rId393" Type="http://schemas.openxmlformats.org/officeDocument/2006/relationships/hyperlink" Target="https://www.transfermarkt.com/test/spieltag/wettbewerb/ES1/saison_id/2016/spieltag/8" TargetMode="External"/><Relationship Id="rId158" Type="http://schemas.openxmlformats.org/officeDocument/2006/relationships/hyperlink" Target="https://www.transfermarkt.com/spielbericht/index/spielbericht/3911767" TargetMode="External"/><Relationship Id="rId157" Type="http://schemas.openxmlformats.org/officeDocument/2006/relationships/hyperlink" Target="https://www.transfermarkt.com/spielbericht/index/spielbericht/3911788" TargetMode="External"/><Relationship Id="rId399" Type="http://schemas.openxmlformats.org/officeDocument/2006/relationships/hyperlink" Target="https://www.transfermarkt.com/test/spieltag/wettbewerb/ES1/saison_id/2016/spieltag/10" TargetMode="External"/><Relationship Id="rId156" Type="http://schemas.openxmlformats.org/officeDocument/2006/relationships/hyperlink" Target="https://www.transfermarkt.com/spielbericht/index/spielbericht/3911765" TargetMode="External"/><Relationship Id="rId398" Type="http://schemas.openxmlformats.org/officeDocument/2006/relationships/hyperlink" Target="https://www.transfermarkt.com/spielbericht/index/spielbericht/2718796" TargetMode="External"/><Relationship Id="rId155" Type="http://schemas.openxmlformats.org/officeDocument/2006/relationships/hyperlink" Target="https://www.transfermarkt.com/spielbericht/index/spielbericht/3911786" TargetMode="External"/><Relationship Id="rId397" Type="http://schemas.openxmlformats.org/officeDocument/2006/relationships/hyperlink" Target="https://www.transfermarkt.com/fc-valencia/startseite/verein/1049/saison_id/2016" TargetMode="External"/><Relationship Id="rId808" Type="http://schemas.openxmlformats.org/officeDocument/2006/relationships/hyperlink" Target="https://www.transfermarkt.co.uk/spielbericht/index/spielbericht/2547383" TargetMode="External"/><Relationship Id="rId807" Type="http://schemas.openxmlformats.org/officeDocument/2006/relationships/hyperlink" Target="https://www.transfermarkt.co.uk/fc-paris-saint-germain/startseite/verein/583/saison_id/2014" TargetMode="External"/><Relationship Id="rId806" Type="http://schemas.openxmlformats.org/officeDocument/2006/relationships/hyperlink" Target="https://www.transfermarkt.co.uk/spielbericht/index/spielbericht/2547349" TargetMode="External"/><Relationship Id="rId805" Type="http://schemas.openxmlformats.org/officeDocument/2006/relationships/hyperlink" Target="https://www.transfermarkt.co.uk/fc-paris-saint-germain/startseite/verein/583/saison_id/2014" TargetMode="External"/><Relationship Id="rId809" Type="http://schemas.openxmlformats.org/officeDocument/2006/relationships/hyperlink" Target="https://www.transfermarkt.co.uk/fc-bayern-munchen/startseite/verein/27/saison_id/2014" TargetMode="External"/><Relationship Id="rId800" Type="http://schemas.openxmlformats.org/officeDocument/2006/relationships/hyperlink" Target="https://www.transfermarkt.co.uk/spielbericht/index/spielbericht/2495368" TargetMode="External"/><Relationship Id="rId804" Type="http://schemas.openxmlformats.org/officeDocument/2006/relationships/hyperlink" Target="https://www.transfermarkt.co.uk/spielbericht/index/spielbericht/2517521" TargetMode="External"/><Relationship Id="rId803" Type="http://schemas.openxmlformats.org/officeDocument/2006/relationships/hyperlink" Target="https://www.transfermarkt.co.uk/manchester-city/startseite/verein/281/saison_id/2014" TargetMode="External"/><Relationship Id="rId802" Type="http://schemas.openxmlformats.org/officeDocument/2006/relationships/hyperlink" Target="https://www.transfermarkt.co.uk/spielbericht/index/spielbericht/2517513" TargetMode="External"/><Relationship Id="rId801" Type="http://schemas.openxmlformats.org/officeDocument/2006/relationships/hyperlink" Target="https://www.transfermarkt.co.uk/manchester-city/startseite/verein/281/saison_id/2014" TargetMode="External"/><Relationship Id="rId40" Type="http://schemas.openxmlformats.org/officeDocument/2006/relationships/hyperlink" Target="https://www.transfermarkt.com/spielbericht/index/spielbericht/4407616" TargetMode="External"/><Relationship Id="rId42" Type="http://schemas.openxmlformats.org/officeDocument/2006/relationships/hyperlink" Target="https://www.transfermarkt.com/spielbericht/index/spielbericht/4407595" TargetMode="External"/><Relationship Id="rId41" Type="http://schemas.openxmlformats.org/officeDocument/2006/relationships/hyperlink" Target="https://www.transfermarkt.com/spielbericht/index/spielbericht/4407609" TargetMode="External"/><Relationship Id="rId44" Type="http://schemas.openxmlformats.org/officeDocument/2006/relationships/hyperlink" Target="https://www.transfermarkt.com/spielbericht/index/spielbericht/4407585" TargetMode="External"/><Relationship Id="rId43" Type="http://schemas.openxmlformats.org/officeDocument/2006/relationships/hyperlink" Target="https://www.transfermarkt.com/spielbericht/index/spielbericht/4407575" TargetMode="External"/><Relationship Id="rId46" Type="http://schemas.openxmlformats.org/officeDocument/2006/relationships/hyperlink" Target="https://www.transfermarkt.com/spielbericht/index/spielbericht/4445152" TargetMode="External"/><Relationship Id="rId45" Type="http://schemas.openxmlformats.org/officeDocument/2006/relationships/hyperlink" Target="https://www.transfermarkt.com/spielbericht/index/spielbericht/4407564" TargetMode="External"/><Relationship Id="rId509" Type="http://schemas.openxmlformats.org/officeDocument/2006/relationships/hyperlink" Target="https://www.transfermarkt.co.uk/athletic-bilbao/startseite/verein/621/saison_id/2016" TargetMode="External"/><Relationship Id="rId508" Type="http://schemas.openxmlformats.org/officeDocument/2006/relationships/hyperlink" Target="https://www.transfermarkt.co.uk/spielbericht/index/spielbericht/2767530" TargetMode="External"/><Relationship Id="rId503" Type="http://schemas.openxmlformats.org/officeDocument/2006/relationships/hyperlink" Target="https://www.transfermarkt.com/juventus-turin/startseite/verein/506/saison_id/2016" TargetMode="External"/><Relationship Id="rId745" Type="http://schemas.openxmlformats.org/officeDocument/2006/relationships/hyperlink" Target="https://www.transfermarkt.co.uk/fc-malaga/startseite/verein/1084/saison_id/2014" TargetMode="External"/><Relationship Id="rId502" Type="http://schemas.openxmlformats.org/officeDocument/2006/relationships/hyperlink" Target="https://www.transfermarkt.com/spielbericht/index/spielbericht/2840938" TargetMode="External"/><Relationship Id="rId744" Type="http://schemas.openxmlformats.org/officeDocument/2006/relationships/hyperlink" Target="https://www.transfermarkt.co.uk/test/spieltag/wettbewerb/ES1/saison_id/2014/spieltag/24" TargetMode="External"/><Relationship Id="rId501" Type="http://schemas.openxmlformats.org/officeDocument/2006/relationships/hyperlink" Target="https://www.transfermarkt.com/juventus-turin/startseite/verein/506/saison_id/2016" TargetMode="External"/><Relationship Id="rId743" Type="http://schemas.openxmlformats.org/officeDocument/2006/relationships/hyperlink" Target="https://www.transfermarkt.co.uk/spielbericht/index/spielbericht/2475409" TargetMode="External"/><Relationship Id="rId500" Type="http://schemas.openxmlformats.org/officeDocument/2006/relationships/hyperlink" Target="https://www.transfermarkt.com/spielbericht/index/spielbericht/2805651" TargetMode="External"/><Relationship Id="rId742" Type="http://schemas.openxmlformats.org/officeDocument/2006/relationships/hyperlink" Target="https://www.transfermarkt.co.uk/ud-levante/startseite/verein/3368/saison_id/2014" TargetMode="External"/><Relationship Id="rId507" Type="http://schemas.openxmlformats.org/officeDocument/2006/relationships/hyperlink" Target="https://www.transfermarkt.co.uk/hercules-alicante/startseite/verein/7971/saison_id/2016" TargetMode="External"/><Relationship Id="rId749" Type="http://schemas.openxmlformats.org/officeDocument/2006/relationships/hyperlink" Target="https://www.transfermarkt.co.uk/spielbericht/index/spielbericht/2475429" TargetMode="External"/><Relationship Id="rId506" Type="http://schemas.openxmlformats.org/officeDocument/2006/relationships/hyperlink" Target="https://www.transfermarkt.co.uk/spielbericht/index/spielbericht/2767515" TargetMode="External"/><Relationship Id="rId748" Type="http://schemas.openxmlformats.org/officeDocument/2006/relationships/hyperlink" Target="https://www.transfermarkt.co.uk/fc-granada/startseite/verein/16795/saison_id/2014" TargetMode="External"/><Relationship Id="rId505" Type="http://schemas.openxmlformats.org/officeDocument/2006/relationships/hyperlink" Target="https://www.transfermarkt.co.uk/hercules-alicante/startseite/verein/7971/saison_id/2016" TargetMode="External"/><Relationship Id="rId747" Type="http://schemas.openxmlformats.org/officeDocument/2006/relationships/hyperlink" Target="https://www.transfermarkt.co.uk/test/spieltag/wettbewerb/ES1/saison_id/2014/spieltag/25" TargetMode="External"/><Relationship Id="rId504" Type="http://schemas.openxmlformats.org/officeDocument/2006/relationships/hyperlink" Target="https://www.transfermarkt.com/spielbericht/index/spielbericht/2840942" TargetMode="External"/><Relationship Id="rId746" Type="http://schemas.openxmlformats.org/officeDocument/2006/relationships/hyperlink" Target="https://www.transfermarkt.co.uk/spielbericht/index/spielbericht/2475419" TargetMode="External"/><Relationship Id="rId48" Type="http://schemas.openxmlformats.org/officeDocument/2006/relationships/hyperlink" Target="https://www.transfermarkt.com/spielbericht/index/spielbericht/4445064" TargetMode="External"/><Relationship Id="rId47" Type="http://schemas.openxmlformats.org/officeDocument/2006/relationships/hyperlink" Target="https://www.transfermarkt.com/spielbericht/index/spielbericht/4445066" TargetMode="External"/><Relationship Id="rId49" Type="http://schemas.openxmlformats.org/officeDocument/2006/relationships/hyperlink" Target="https://www.transfermarkt.com/spielbericht/index/spielbericht/4445124" TargetMode="External"/><Relationship Id="rId741" Type="http://schemas.openxmlformats.org/officeDocument/2006/relationships/hyperlink" Target="https://www.transfermarkt.co.uk/test/spieltag/wettbewerb/ES1/saison_id/2014/spieltag/23" TargetMode="External"/><Relationship Id="rId740" Type="http://schemas.openxmlformats.org/officeDocument/2006/relationships/hyperlink" Target="https://www.transfermarkt.co.uk/spielbericht/index/spielbericht/2475398" TargetMode="External"/><Relationship Id="rId31" Type="http://schemas.openxmlformats.org/officeDocument/2006/relationships/hyperlink" Target="https://www.transfermarkt.com/spielbericht/index/spielbericht/4407755" TargetMode="External"/><Relationship Id="rId30" Type="http://schemas.openxmlformats.org/officeDocument/2006/relationships/hyperlink" Target="https://www.transfermarkt.com/spielbericht/index/spielbericht/4407770" TargetMode="External"/><Relationship Id="rId33" Type="http://schemas.openxmlformats.org/officeDocument/2006/relationships/hyperlink" Target="https://www.transfermarkt.com/spielbericht/index/spielbericht/4407734" TargetMode="External"/><Relationship Id="rId32" Type="http://schemas.openxmlformats.org/officeDocument/2006/relationships/hyperlink" Target="https://www.transfermarkt.com/spielbericht/index/spielbericht/4407539" TargetMode="External"/><Relationship Id="rId35" Type="http://schemas.openxmlformats.org/officeDocument/2006/relationships/hyperlink" Target="https://www.transfermarkt.com/spielbericht/index/spielbericht/4407524" TargetMode="External"/><Relationship Id="rId34" Type="http://schemas.openxmlformats.org/officeDocument/2006/relationships/hyperlink" Target="https://www.transfermarkt.com/spielbericht/index/spielbericht/4407785" TargetMode="External"/><Relationship Id="rId739" Type="http://schemas.openxmlformats.org/officeDocument/2006/relationships/hyperlink" Target="https://www.transfermarkt.co.uk/athletic-bilbao/startseite/verein/621/saison_id/2014" TargetMode="External"/><Relationship Id="rId734" Type="http://schemas.openxmlformats.org/officeDocument/2006/relationships/hyperlink" Target="https://www.transfermarkt.co.uk/spielbericht/index/spielbericht/2475374" TargetMode="External"/><Relationship Id="rId733" Type="http://schemas.openxmlformats.org/officeDocument/2006/relationships/hyperlink" Target="https://www.transfermarkt.co.uk/fc-elche/startseite/verein/1531/saison_id/2014" TargetMode="External"/><Relationship Id="rId732" Type="http://schemas.openxmlformats.org/officeDocument/2006/relationships/hyperlink" Target="https://www.transfermarkt.co.uk/test/spieltag/wettbewerb/ES1/saison_id/2014/spieltag/20" TargetMode="External"/><Relationship Id="rId731" Type="http://schemas.openxmlformats.org/officeDocument/2006/relationships/hyperlink" Target="https://www.transfermarkt.co.uk/spielbericht/index/spielbericht/2475362" TargetMode="External"/><Relationship Id="rId738" Type="http://schemas.openxmlformats.org/officeDocument/2006/relationships/hyperlink" Target="https://www.transfermarkt.co.uk/test/spieltag/wettbewerb/ES1/saison_id/2014/spieltag/22" TargetMode="External"/><Relationship Id="rId737" Type="http://schemas.openxmlformats.org/officeDocument/2006/relationships/hyperlink" Target="https://www.transfermarkt.co.uk/spielbericht/index/spielbericht/2475388" TargetMode="External"/><Relationship Id="rId736" Type="http://schemas.openxmlformats.org/officeDocument/2006/relationships/hyperlink" Target="https://www.transfermarkt.co.uk/fc-villarreal/startseite/verein/1050/saison_id/2014" TargetMode="External"/><Relationship Id="rId735" Type="http://schemas.openxmlformats.org/officeDocument/2006/relationships/hyperlink" Target="https://www.transfermarkt.co.uk/test/spieltag/wettbewerb/ES1/saison_id/2014/spieltag/21" TargetMode="External"/><Relationship Id="rId37" Type="http://schemas.openxmlformats.org/officeDocument/2006/relationships/hyperlink" Target="https://www.transfermarkt.com/spielbericht/index/spielbericht/4407544" TargetMode="External"/><Relationship Id="rId36" Type="http://schemas.openxmlformats.org/officeDocument/2006/relationships/hyperlink" Target="https://www.transfermarkt.com/spielbericht/index/spielbericht/4407555" TargetMode="External"/><Relationship Id="rId39" Type="http://schemas.openxmlformats.org/officeDocument/2006/relationships/hyperlink" Target="https://www.transfermarkt.com/spielbericht/index/spielbericht/4407634" TargetMode="External"/><Relationship Id="rId38" Type="http://schemas.openxmlformats.org/officeDocument/2006/relationships/hyperlink" Target="https://www.transfermarkt.com/spielbericht/index/spielbericht/4407629" TargetMode="External"/><Relationship Id="rId730" Type="http://schemas.openxmlformats.org/officeDocument/2006/relationships/hyperlink" Target="https://www.transfermarkt.co.uk/deportivo-la-coruna/startseite/verein/897/saison_id/2014" TargetMode="External"/><Relationship Id="rId20" Type="http://schemas.openxmlformats.org/officeDocument/2006/relationships/hyperlink" Target="https://www.transfermarkt.com/spielbericht/index/spielbericht/4407670" TargetMode="External"/><Relationship Id="rId22" Type="http://schemas.openxmlformats.org/officeDocument/2006/relationships/hyperlink" Target="https://www.transfermarkt.com/spielbericht/index/spielbericht/4407654" TargetMode="External"/><Relationship Id="rId21" Type="http://schemas.openxmlformats.org/officeDocument/2006/relationships/hyperlink" Target="https://www.transfermarkt.com/spielbericht/index/spielbericht/4407649" TargetMode="External"/><Relationship Id="rId24" Type="http://schemas.openxmlformats.org/officeDocument/2006/relationships/hyperlink" Target="https://www.transfermarkt.com/spielbericht/index/spielbericht/4407705" TargetMode="External"/><Relationship Id="rId23" Type="http://schemas.openxmlformats.org/officeDocument/2006/relationships/hyperlink" Target="https://www.transfermarkt.com/spielbericht/index/spielbericht/4407690" TargetMode="External"/><Relationship Id="rId525" Type="http://schemas.openxmlformats.org/officeDocument/2006/relationships/hyperlink" Target="https://www.transfermarkt.co.uk/spielbericht/index/spielbericht/2594471" TargetMode="External"/><Relationship Id="rId767" Type="http://schemas.openxmlformats.org/officeDocument/2006/relationships/hyperlink" Target="https://www.transfermarkt.co.uk/spielbericht/index/spielbericht/2475486" TargetMode="External"/><Relationship Id="rId524" Type="http://schemas.openxmlformats.org/officeDocument/2006/relationships/hyperlink" Target="https://www.transfermarkt.co.uk/athletic-bilbao/startseite/verein/621/saison_id/2015" TargetMode="External"/><Relationship Id="rId766" Type="http://schemas.openxmlformats.org/officeDocument/2006/relationships/hyperlink" Target="https://www.transfermarkt.co.uk/fc-sevilla/startseite/verein/368/saison_id/2014" TargetMode="External"/><Relationship Id="rId523" Type="http://schemas.openxmlformats.org/officeDocument/2006/relationships/hyperlink" Target="https://www.transfermarkt.co.uk/test/spieltag/wettbewerb/ES1/saison_id/2015/spieltag/1" TargetMode="External"/><Relationship Id="rId765" Type="http://schemas.openxmlformats.org/officeDocument/2006/relationships/hyperlink" Target="https://www.transfermarkt.co.uk/test/spieltag/wettbewerb/ES1/saison_id/2014/spieltag/31" TargetMode="External"/><Relationship Id="rId522" Type="http://schemas.openxmlformats.org/officeDocument/2006/relationships/hyperlink" Target="https://www.transfermarkt.co.uk/spielbericht/index/spielbericht/2823374" TargetMode="External"/><Relationship Id="rId764" Type="http://schemas.openxmlformats.org/officeDocument/2006/relationships/hyperlink" Target="https://www.transfermarkt.co.uk/spielbericht/index/spielbericht/2475476" TargetMode="External"/><Relationship Id="rId529" Type="http://schemas.openxmlformats.org/officeDocument/2006/relationships/hyperlink" Target="https://www.transfermarkt.co.uk/test/spieltag/wettbewerb/ES1/saison_id/2015/spieltag/3" TargetMode="External"/><Relationship Id="rId528" Type="http://schemas.openxmlformats.org/officeDocument/2006/relationships/hyperlink" Target="https://www.transfermarkt.co.uk/spielbericht/index/spielbericht/2594484" TargetMode="External"/><Relationship Id="rId527" Type="http://schemas.openxmlformats.org/officeDocument/2006/relationships/hyperlink" Target="https://www.transfermarkt.co.uk/fc-malaga/startseite/verein/1084/saison_id/2015" TargetMode="External"/><Relationship Id="rId769" Type="http://schemas.openxmlformats.org/officeDocument/2006/relationships/hyperlink" Target="https://www.transfermarkt.co.uk/fc-valencia/startseite/verein/1049/saison_id/2014" TargetMode="External"/><Relationship Id="rId526" Type="http://schemas.openxmlformats.org/officeDocument/2006/relationships/hyperlink" Target="https://www.transfermarkt.co.uk/test/spieltag/wettbewerb/ES1/saison_id/2015/spieltag/2" TargetMode="External"/><Relationship Id="rId768" Type="http://schemas.openxmlformats.org/officeDocument/2006/relationships/hyperlink" Target="https://www.transfermarkt.co.uk/test/spieltag/wettbewerb/ES1/saison_id/2014/spieltag/32" TargetMode="External"/><Relationship Id="rId26" Type="http://schemas.openxmlformats.org/officeDocument/2006/relationships/hyperlink" Target="https://www.transfermarkt.com/spielbericht/index/spielbericht/4407720" TargetMode="External"/><Relationship Id="rId25" Type="http://schemas.openxmlformats.org/officeDocument/2006/relationships/hyperlink" Target="https://www.transfermarkt.com/spielbericht/index/spielbericht/4407681" TargetMode="External"/><Relationship Id="rId28" Type="http://schemas.openxmlformats.org/officeDocument/2006/relationships/hyperlink" Target="https://www.transfermarkt.com/spielbericht/index/spielbericht/4407746" TargetMode="External"/><Relationship Id="rId27" Type="http://schemas.openxmlformats.org/officeDocument/2006/relationships/hyperlink" Target="https://www.transfermarkt.com/spielbericht/index/spielbericht/4407729" TargetMode="External"/><Relationship Id="rId521" Type="http://schemas.openxmlformats.org/officeDocument/2006/relationships/hyperlink" Target="https://www.transfermarkt.co.uk/deportivo-alaves/startseite/verein/1108/saison_id/2016" TargetMode="External"/><Relationship Id="rId763" Type="http://schemas.openxmlformats.org/officeDocument/2006/relationships/hyperlink" Target="https://www.transfermarkt.co.uk/ud-almeria/startseite/verein/3302/saison_id/2014" TargetMode="External"/><Relationship Id="rId29" Type="http://schemas.openxmlformats.org/officeDocument/2006/relationships/hyperlink" Target="https://www.transfermarkt.com/spielbericht/index/spielbericht/4407783" TargetMode="External"/><Relationship Id="rId520" Type="http://schemas.openxmlformats.org/officeDocument/2006/relationships/hyperlink" Target="https://www.transfermarkt.co.uk/spielbericht/index/spielbericht/2818309" TargetMode="External"/><Relationship Id="rId762" Type="http://schemas.openxmlformats.org/officeDocument/2006/relationships/hyperlink" Target="https://www.transfermarkt.co.uk/test/spieltag/wettbewerb/ES1/saison_id/2014/spieltag/30" TargetMode="External"/><Relationship Id="rId761" Type="http://schemas.openxmlformats.org/officeDocument/2006/relationships/hyperlink" Target="https://www.transfermarkt.co.uk/spielbericht/index/spielbericht/2475467" TargetMode="External"/><Relationship Id="rId760" Type="http://schemas.openxmlformats.org/officeDocument/2006/relationships/hyperlink" Target="https://www.transfermarkt.co.uk/celta-vigo/startseite/verein/940/saison_id/2014" TargetMode="External"/><Relationship Id="rId11" Type="http://schemas.openxmlformats.org/officeDocument/2006/relationships/hyperlink" Target="https://www.transfermarkt.com/spielbericht/index/spielbericht/4364906" TargetMode="External"/><Relationship Id="rId10" Type="http://schemas.openxmlformats.org/officeDocument/2006/relationships/hyperlink" Target="https://www.transfermarkt.com/spielbericht/index/spielbericht/4361568" TargetMode="External"/><Relationship Id="rId13" Type="http://schemas.openxmlformats.org/officeDocument/2006/relationships/hyperlink" Target="https://www.transfermarkt.com/spielbericht/index/spielbericht/4405334" TargetMode="External"/><Relationship Id="rId12" Type="http://schemas.openxmlformats.org/officeDocument/2006/relationships/hyperlink" Target="https://www.transfermarkt.com/spielbericht/index/spielbericht/4405324" TargetMode="External"/><Relationship Id="rId519" Type="http://schemas.openxmlformats.org/officeDocument/2006/relationships/hyperlink" Target="https://www.transfermarkt.co.uk/atletico-madrid/startseite/verein/13/saison_id/2016" TargetMode="External"/><Relationship Id="rId514" Type="http://schemas.openxmlformats.org/officeDocument/2006/relationships/hyperlink" Target="https://www.transfermarkt.co.uk/spielbericht/index/spielbericht/2814838" TargetMode="External"/><Relationship Id="rId756" Type="http://schemas.openxmlformats.org/officeDocument/2006/relationships/hyperlink" Target="https://www.transfermarkt.co.uk/test/spieltag/wettbewerb/ES1/saison_id/2014/spieltag/28" TargetMode="External"/><Relationship Id="rId513" Type="http://schemas.openxmlformats.org/officeDocument/2006/relationships/hyperlink" Target="https://www.transfermarkt.co.uk/real-sociedad-san-sebastian/startseite/verein/681/saison_id/2016" TargetMode="External"/><Relationship Id="rId755" Type="http://schemas.openxmlformats.org/officeDocument/2006/relationships/hyperlink" Target="https://www.transfermarkt.co.uk/spielbericht/index/spielbericht/2475448" TargetMode="External"/><Relationship Id="rId512" Type="http://schemas.openxmlformats.org/officeDocument/2006/relationships/hyperlink" Target="https://www.transfermarkt.co.uk/spielbericht/index/spielbericht/2810026" TargetMode="External"/><Relationship Id="rId754" Type="http://schemas.openxmlformats.org/officeDocument/2006/relationships/hyperlink" Target="https://www.transfermarkt.co.uk/sd-eibar/startseite/verein/1533/saison_id/2014" TargetMode="External"/><Relationship Id="rId511" Type="http://schemas.openxmlformats.org/officeDocument/2006/relationships/hyperlink" Target="https://www.transfermarkt.co.uk/athletic-bilbao/startseite/verein/621/saison_id/2016" TargetMode="External"/><Relationship Id="rId753" Type="http://schemas.openxmlformats.org/officeDocument/2006/relationships/hyperlink" Target="https://www.transfermarkt.co.uk/test/spieltag/wettbewerb/ES1/saison_id/2014/spieltag/27" TargetMode="External"/><Relationship Id="rId518" Type="http://schemas.openxmlformats.org/officeDocument/2006/relationships/hyperlink" Target="https://www.transfermarkt.co.uk/spielbericht/index/spielbericht/2818307" TargetMode="External"/><Relationship Id="rId517" Type="http://schemas.openxmlformats.org/officeDocument/2006/relationships/hyperlink" Target="https://www.transfermarkt.co.uk/atletico-madrid/startseite/verein/13/saison_id/2016" TargetMode="External"/><Relationship Id="rId759" Type="http://schemas.openxmlformats.org/officeDocument/2006/relationships/hyperlink" Target="https://www.transfermarkt.co.uk/test/spieltag/wettbewerb/ES1/saison_id/2014/spieltag/29" TargetMode="External"/><Relationship Id="rId516" Type="http://schemas.openxmlformats.org/officeDocument/2006/relationships/hyperlink" Target="https://www.transfermarkt.co.uk/spielbericht/index/spielbericht/2814842" TargetMode="External"/><Relationship Id="rId758" Type="http://schemas.openxmlformats.org/officeDocument/2006/relationships/hyperlink" Target="https://www.transfermarkt.co.uk/spielbericht/index/spielbericht/2475457" TargetMode="External"/><Relationship Id="rId515" Type="http://schemas.openxmlformats.org/officeDocument/2006/relationships/hyperlink" Target="https://www.transfermarkt.co.uk/real-sociedad-san-sebastian/startseite/verein/681/saison_id/2016" TargetMode="External"/><Relationship Id="rId757" Type="http://schemas.openxmlformats.org/officeDocument/2006/relationships/hyperlink" Target="https://www.transfermarkt.co.uk/real-madrid/startseite/verein/418/saison_id/2014" TargetMode="External"/><Relationship Id="rId15" Type="http://schemas.openxmlformats.org/officeDocument/2006/relationships/hyperlink" Target="https://www.transfermarkt.com/spielbericht/index/spielbericht/4405353" TargetMode="External"/><Relationship Id="rId14" Type="http://schemas.openxmlformats.org/officeDocument/2006/relationships/hyperlink" Target="https://www.transfermarkt.com/spielbericht/index/spielbericht/4405339" TargetMode="External"/><Relationship Id="rId17" Type="http://schemas.openxmlformats.org/officeDocument/2006/relationships/hyperlink" Target="https://www.transfermarkt.com/spielbericht/index/spielbericht/4405370" TargetMode="External"/><Relationship Id="rId16" Type="http://schemas.openxmlformats.org/officeDocument/2006/relationships/hyperlink" Target="https://www.transfermarkt.com/spielbericht/index/spielbericht/4405361" TargetMode="External"/><Relationship Id="rId19" Type="http://schemas.openxmlformats.org/officeDocument/2006/relationships/hyperlink" Target="https://www.transfermarkt.com/spielbericht/index/spielbericht/4407703" TargetMode="External"/><Relationship Id="rId510" Type="http://schemas.openxmlformats.org/officeDocument/2006/relationships/hyperlink" Target="https://www.transfermarkt.co.uk/spielbericht/index/spielbericht/2810018" TargetMode="External"/><Relationship Id="rId752" Type="http://schemas.openxmlformats.org/officeDocument/2006/relationships/hyperlink" Target="https://www.transfermarkt.co.uk/spielbericht/index/spielbericht/2475438" TargetMode="External"/><Relationship Id="rId18" Type="http://schemas.openxmlformats.org/officeDocument/2006/relationships/hyperlink" Target="https://www.transfermarkt.com/spielbericht/index/spielbericht/4407518" TargetMode="External"/><Relationship Id="rId751" Type="http://schemas.openxmlformats.org/officeDocument/2006/relationships/hyperlink" Target="https://www.transfermarkt.co.uk/rayo-vallecano/startseite/verein/367/saison_id/2014" TargetMode="External"/><Relationship Id="rId750" Type="http://schemas.openxmlformats.org/officeDocument/2006/relationships/hyperlink" Target="https://www.transfermarkt.co.uk/test/spieltag/wettbewerb/ES1/saison_id/2014/spieltag/26" TargetMode="External"/><Relationship Id="rId84" Type="http://schemas.openxmlformats.org/officeDocument/2006/relationships/hyperlink" Target="https://www.transfermarkt.com/spielbericht/index/spielbericht/4112860" TargetMode="External"/><Relationship Id="rId83" Type="http://schemas.openxmlformats.org/officeDocument/2006/relationships/hyperlink" Target="https://www.transfermarkt.com/spielbericht/index/spielbericht/4112873" TargetMode="External"/><Relationship Id="rId86" Type="http://schemas.openxmlformats.org/officeDocument/2006/relationships/hyperlink" Target="https://www.transfermarkt.com/spielbericht/index/spielbericht/4112831" TargetMode="External"/><Relationship Id="rId85" Type="http://schemas.openxmlformats.org/officeDocument/2006/relationships/hyperlink" Target="https://www.transfermarkt.com/spielbericht/index/spielbericht/4112818" TargetMode="External"/><Relationship Id="rId88" Type="http://schemas.openxmlformats.org/officeDocument/2006/relationships/hyperlink" Target="https://www.transfermarkt.com/spielbericht/index/spielbericht/4113040" TargetMode="External"/><Relationship Id="rId87" Type="http://schemas.openxmlformats.org/officeDocument/2006/relationships/hyperlink" Target="https://www.transfermarkt.com/spielbericht/index/spielbericht/4112843" TargetMode="External"/><Relationship Id="rId89" Type="http://schemas.openxmlformats.org/officeDocument/2006/relationships/hyperlink" Target="https://www.transfermarkt.com/spielbericht/index/spielbericht/4112886" TargetMode="External"/><Relationship Id="rId709" Type="http://schemas.openxmlformats.org/officeDocument/2006/relationships/hyperlink" Target="https://www.transfermarkt.co.uk/fc-sevilla/startseite/verein/368/saison_id/2014" TargetMode="External"/><Relationship Id="rId708" Type="http://schemas.openxmlformats.org/officeDocument/2006/relationships/hyperlink" Target="https://www.transfermarkt.co.uk/test/spieltag/wettbewerb/ES1/saison_id/2014/spieltag/12" TargetMode="External"/><Relationship Id="rId707" Type="http://schemas.openxmlformats.org/officeDocument/2006/relationships/hyperlink" Target="https://www.transfermarkt.co.uk/spielbericht/index/spielbericht/2475286" TargetMode="External"/><Relationship Id="rId706" Type="http://schemas.openxmlformats.org/officeDocument/2006/relationships/hyperlink" Target="https://www.transfermarkt.co.uk/ud-almeria/startseite/verein/3302/saison_id/2014" TargetMode="External"/><Relationship Id="rId80" Type="http://schemas.openxmlformats.org/officeDocument/2006/relationships/hyperlink" Target="https://www.transfermarkt.com/spielbericht/index/spielbericht/4113148" TargetMode="External"/><Relationship Id="rId82" Type="http://schemas.openxmlformats.org/officeDocument/2006/relationships/hyperlink" Target="https://www.transfermarkt.com/spielbericht/index/spielbericht/4112850" TargetMode="External"/><Relationship Id="rId81" Type="http://schemas.openxmlformats.org/officeDocument/2006/relationships/hyperlink" Target="https://www.transfermarkt.com/spielbericht/index/spielbericht/4112875" TargetMode="External"/><Relationship Id="rId701" Type="http://schemas.openxmlformats.org/officeDocument/2006/relationships/hyperlink" Target="https://www.transfermarkt.co.uk/spielbericht/index/spielbericht/2475267" TargetMode="External"/><Relationship Id="rId700" Type="http://schemas.openxmlformats.org/officeDocument/2006/relationships/hyperlink" Target="https://www.transfermarkt.co.uk/real-madrid/startseite/verein/418/saison_id/2014" TargetMode="External"/><Relationship Id="rId705" Type="http://schemas.openxmlformats.org/officeDocument/2006/relationships/hyperlink" Target="https://www.transfermarkt.co.uk/test/spieltag/wettbewerb/ES1/saison_id/2014/spieltag/11" TargetMode="External"/><Relationship Id="rId704" Type="http://schemas.openxmlformats.org/officeDocument/2006/relationships/hyperlink" Target="https://www.transfermarkt.co.uk/spielbericht/index/spielbericht/2475277" TargetMode="External"/><Relationship Id="rId703" Type="http://schemas.openxmlformats.org/officeDocument/2006/relationships/hyperlink" Target="https://www.transfermarkt.co.uk/celta-vigo/startseite/verein/940/saison_id/2014" TargetMode="External"/><Relationship Id="rId702" Type="http://schemas.openxmlformats.org/officeDocument/2006/relationships/hyperlink" Target="https://www.transfermarkt.co.uk/test/spieltag/wettbewerb/ES1/saison_id/2014/spieltag/10" TargetMode="External"/><Relationship Id="rId73" Type="http://schemas.openxmlformats.org/officeDocument/2006/relationships/hyperlink" Target="https://www.transfermarkt.com/spielbericht/index/spielbericht/4112970" TargetMode="External"/><Relationship Id="rId72" Type="http://schemas.openxmlformats.org/officeDocument/2006/relationships/hyperlink" Target="https://www.transfermarkt.com/spielbericht/index/spielbericht/4113069" TargetMode="External"/><Relationship Id="rId75" Type="http://schemas.openxmlformats.org/officeDocument/2006/relationships/hyperlink" Target="https://www.transfermarkt.com/spielbericht/index/spielbericht/4113120" TargetMode="External"/><Relationship Id="rId74" Type="http://schemas.openxmlformats.org/officeDocument/2006/relationships/hyperlink" Target="https://www.transfermarkt.com/spielbericht/index/spielbericht/4113061" TargetMode="External"/><Relationship Id="rId77" Type="http://schemas.openxmlformats.org/officeDocument/2006/relationships/hyperlink" Target="https://www.transfermarkt.com/spielbericht/index/spielbericht/4113118" TargetMode="External"/><Relationship Id="rId76" Type="http://schemas.openxmlformats.org/officeDocument/2006/relationships/hyperlink" Target="https://www.transfermarkt.com/spielbericht/index/spielbericht/4113124" TargetMode="External"/><Relationship Id="rId79" Type="http://schemas.openxmlformats.org/officeDocument/2006/relationships/hyperlink" Target="https://www.transfermarkt.com/spielbericht/index/spielbericht/4113089" TargetMode="External"/><Relationship Id="rId78" Type="http://schemas.openxmlformats.org/officeDocument/2006/relationships/hyperlink" Target="https://www.transfermarkt.com/spielbericht/index/spielbericht/4113116" TargetMode="External"/><Relationship Id="rId71" Type="http://schemas.openxmlformats.org/officeDocument/2006/relationships/hyperlink" Target="https://www.transfermarkt.com/spielbericht/index/spielbericht/4113122" TargetMode="External"/><Relationship Id="rId70" Type="http://schemas.openxmlformats.org/officeDocument/2006/relationships/hyperlink" Target="https://www.transfermarkt.com/spielbericht/index/spielbericht/4113106" TargetMode="External"/><Relationship Id="rId62" Type="http://schemas.openxmlformats.org/officeDocument/2006/relationships/hyperlink" Target="https://www.transfermarkt.com/spielbericht/index/spielbericht/4540704" TargetMode="External"/><Relationship Id="rId61" Type="http://schemas.openxmlformats.org/officeDocument/2006/relationships/hyperlink" Target="https://www.transfermarkt.com/spielbericht/index/spielbericht/4527518" TargetMode="External"/><Relationship Id="rId64" Type="http://schemas.openxmlformats.org/officeDocument/2006/relationships/hyperlink" Target="https://www.transfermarkt.com/spielbericht/index/spielbericht/4557608" TargetMode="External"/><Relationship Id="rId63" Type="http://schemas.openxmlformats.org/officeDocument/2006/relationships/hyperlink" Target="https://www.transfermarkt.com/spielbericht/index/spielbericht/4557606" TargetMode="External"/><Relationship Id="rId66" Type="http://schemas.openxmlformats.org/officeDocument/2006/relationships/hyperlink" Target="https://www.transfermarkt.com/spielbericht/index/spielbericht/4112811" TargetMode="External"/><Relationship Id="rId65" Type="http://schemas.openxmlformats.org/officeDocument/2006/relationships/hyperlink" Target="https://www.transfermarkt.com/spielbericht/index/spielbericht/4588078" TargetMode="External"/><Relationship Id="rId68" Type="http://schemas.openxmlformats.org/officeDocument/2006/relationships/hyperlink" Target="https://www.transfermarkt.com/spielbericht/index/spielbericht/4113091" TargetMode="External"/><Relationship Id="rId67" Type="http://schemas.openxmlformats.org/officeDocument/2006/relationships/hyperlink" Target="https://www.transfermarkt.com/spielbericht/index/spielbericht/4113131" TargetMode="External"/><Relationship Id="rId729" Type="http://schemas.openxmlformats.org/officeDocument/2006/relationships/hyperlink" Target="https://www.transfermarkt.co.uk/test/spieltag/wettbewerb/ES1/saison_id/2014/spieltag/19" TargetMode="External"/><Relationship Id="rId728" Type="http://schemas.openxmlformats.org/officeDocument/2006/relationships/hyperlink" Target="https://www.transfermarkt.co.uk/spielbericht/index/spielbericht/2475353" TargetMode="External"/><Relationship Id="rId60" Type="http://schemas.openxmlformats.org/officeDocument/2006/relationships/hyperlink" Target="https://www.transfermarkt.com/spielbericht/index/spielbericht/4506875" TargetMode="External"/><Relationship Id="rId723" Type="http://schemas.openxmlformats.org/officeDocument/2006/relationships/hyperlink" Target="https://www.transfermarkt.co.uk/test/spieltag/wettbewerb/ES1/saison_id/2014/spieltag/17" TargetMode="External"/><Relationship Id="rId722" Type="http://schemas.openxmlformats.org/officeDocument/2006/relationships/hyperlink" Target="https://www.transfermarkt.co.uk/spielbericht/index/spielbericht/2475334" TargetMode="External"/><Relationship Id="rId721" Type="http://schemas.openxmlformats.org/officeDocument/2006/relationships/hyperlink" Target="https://www.transfermarkt.co.uk/fc-cordoba/startseite/verein/993/saison_id/2014" TargetMode="External"/><Relationship Id="rId720" Type="http://schemas.openxmlformats.org/officeDocument/2006/relationships/hyperlink" Target="https://www.transfermarkt.co.uk/test/spieltag/wettbewerb/ES1/saison_id/2014/spieltag/16" TargetMode="External"/><Relationship Id="rId727" Type="http://schemas.openxmlformats.org/officeDocument/2006/relationships/hyperlink" Target="https://www.transfermarkt.co.uk/atletico-madrid/startseite/verein/13/saison_id/2014" TargetMode="External"/><Relationship Id="rId726" Type="http://schemas.openxmlformats.org/officeDocument/2006/relationships/hyperlink" Target="https://www.transfermarkt.co.uk/test/spieltag/wettbewerb/ES1/saison_id/2014/spieltag/18" TargetMode="External"/><Relationship Id="rId725" Type="http://schemas.openxmlformats.org/officeDocument/2006/relationships/hyperlink" Target="https://www.transfermarkt.co.uk/spielbericht/index/spielbericht/2475343" TargetMode="External"/><Relationship Id="rId724" Type="http://schemas.openxmlformats.org/officeDocument/2006/relationships/hyperlink" Target="https://www.transfermarkt.co.uk/real-sociedad-san-sebastian/startseite/verein/681/saison_id/2014" TargetMode="External"/><Relationship Id="rId69" Type="http://schemas.openxmlformats.org/officeDocument/2006/relationships/hyperlink" Target="https://www.transfermarkt.com/spielbericht/index/spielbericht/4113052" TargetMode="External"/><Relationship Id="rId51" Type="http://schemas.openxmlformats.org/officeDocument/2006/relationships/hyperlink" Target="https://www.transfermarkt.com/spielbericht/index/spielbericht/4445056" TargetMode="External"/><Relationship Id="rId50" Type="http://schemas.openxmlformats.org/officeDocument/2006/relationships/hyperlink" Target="https://www.transfermarkt.com/spielbericht/index/spielbericht/4445067" TargetMode="External"/><Relationship Id="rId53" Type="http://schemas.openxmlformats.org/officeDocument/2006/relationships/hyperlink" Target="https://www.transfermarkt.com/spielbericht/index/spielbericht/4445065" TargetMode="External"/><Relationship Id="rId52" Type="http://schemas.openxmlformats.org/officeDocument/2006/relationships/hyperlink" Target="https://www.transfermarkt.com/spielbericht/index/spielbericht/4445085" TargetMode="External"/><Relationship Id="rId55" Type="http://schemas.openxmlformats.org/officeDocument/2006/relationships/hyperlink" Target="https://www.transfermarkt.com/spielbericht/index/spielbericht/4547639" TargetMode="External"/><Relationship Id="rId54" Type="http://schemas.openxmlformats.org/officeDocument/2006/relationships/hyperlink" Target="https://www.transfermarkt.com/spielbericht/index/spielbericht/4547632" TargetMode="External"/><Relationship Id="rId57" Type="http://schemas.openxmlformats.org/officeDocument/2006/relationships/hyperlink" Target="https://www.transfermarkt.com/spielbericht/index/spielbericht/4547649" TargetMode="External"/><Relationship Id="rId56" Type="http://schemas.openxmlformats.org/officeDocument/2006/relationships/hyperlink" Target="https://www.transfermarkt.com/spielbericht/index/spielbericht/4547645" TargetMode="External"/><Relationship Id="rId719" Type="http://schemas.openxmlformats.org/officeDocument/2006/relationships/hyperlink" Target="https://www.transfermarkt.co.uk/spielbericht/index/spielbericht/2475324" TargetMode="External"/><Relationship Id="rId718" Type="http://schemas.openxmlformats.org/officeDocument/2006/relationships/hyperlink" Target="https://www.transfermarkt.co.uk/fc-getafe/startseite/verein/3709/saison_id/2014" TargetMode="External"/><Relationship Id="rId717" Type="http://schemas.openxmlformats.org/officeDocument/2006/relationships/hyperlink" Target="https://www.transfermarkt.co.uk/test/spieltag/wettbewerb/ES1/saison_id/2014/spieltag/15" TargetMode="External"/><Relationship Id="rId712" Type="http://schemas.openxmlformats.org/officeDocument/2006/relationships/hyperlink" Target="https://www.transfermarkt.co.uk/fc-valencia/startseite/verein/1049/saison_id/2014" TargetMode="External"/><Relationship Id="rId711" Type="http://schemas.openxmlformats.org/officeDocument/2006/relationships/hyperlink" Target="https://www.transfermarkt.co.uk/test/spieltag/wettbewerb/ES1/saison_id/2014/spieltag/13" TargetMode="External"/><Relationship Id="rId710" Type="http://schemas.openxmlformats.org/officeDocument/2006/relationships/hyperlink" Target="https://www.transfermarkt.co.uk/spielbericht/index/spielbericht/2475296" TargetMode="External"/><Relationship Id="rId716" Type="http://schemas.openxmlformats.org/officeDocument/2006/relationships/hyperlink" Target="https://www.transfermarkt.co.uk/spielbericht/index/spielbericht/2475315" TargetMode="External"/><Relationship Id="rId715" Type="http://schemas.openxmlformats.org/officeDocument/2006/relationships/hyperlink" Target="https://www.transfermarkt.co.uk/espanyol-barcelona/startseite/verein/714/saison_id/2014" TargetMode="External"/><Relationship Id="rId714" Type="http://schemas.openxmlformats.org/officeDocument/2006/relationships/hyperlink" Target="https://www.transfermarkt.co.uk/test/spieltag/wettbewerb/ES1/saison_id/2014/spieltag/14" TargetMode="External"/><Relationship Id="rId713" Type="http://schemas.openxmlformats.org/officeDocument/2006/relationships/hyperlink" Target="https://www.transfermarkt.co.uk/spielbericht/index/spielbericht/2475305" TargetMode="External"/><Relationship Id="rId59" Type="http://schemas.openxmlformats.org/officeDocument/2006/relationships/hyperlink" Target="https://www.transfermarkt.com/spielbericht/index/spielbericht/4547654" TargetMode="External"/><Relationship Id="rId58" Type="http://schemas.openxmlformats.org/officeDocument/2006/relationships/hyperlink" Target="https://www.transfermarkt.com/spielbericht/index/spielbericht/4547652" TargetMode="External"/><Relationship Id="rId590" Type="http://schemas.openxmlformats.org/officeDocument/2006/relationships/hyperlink" Target="https://www.transfermarkt.co.uk/ud-levante/startseite/verein/3368/saison_id/2015" TargetMode="External"/><Relationship Id="rId107" Type="http://schemas.openxmlformats.org/officeDocument/2006/relationships/hyperlink" Target="https://www.transfermarkt.com/spielbericht/index/spielbericht/4174067" TargetMode="External"/><Relationship Id="rId349" Type="http://schemas.openxmlformats.org/officeDocument/2006/relationships/hyperlink" Target="https://www.transfermarkt.com/spielbericht/index/spielbericht/2899862" TargetMode="External"/><Relationship Id="rId106" Type="http://schemas.openxmlformats.org/officeDocument/2006/relationships/hyperlink" Target="https://www.transfermarkt.com/spielbericht/index/spielbericht/4174065" TargetMode="External"/><Relationship Id="rId348" Type="http://schemas.openxmlformats.org/officeDocument/2006/relationships/hyperlink" Target="https://www.transfermarkt.com/spielbericht/index/spielbericht/2899871" TargetMode="External"/><Relationship Id="rId105" Type="http://schemas.openxmlformats.org/officeDocument/2006/relationships/hyperlink" Target="https://www.transfermarkt.com/spielbericht/index/spielbericht/4174055" TargetMode="External"/><Relationship Id="rId347" Type="http://schemas.openxmlformats.org/officeDocument/2006/relationships/hyperlink" Target="https://www.transfermarkt.com/spielbericht/index/spielbericht/2899839" TargetMode="External"/><Relationship Id="rId589" Type="http://schemas.openxmlformats.org/officeDocument/2006/relationships/hyperlink" Target="https://www.transfermarkt.co.uk/test/spieltag/wettbewerb/ES1/saison_id/2015/spieltag/23" TargetMode="External"/><Relationship Id="rId104" Type="http://schemas.openxmlformats.org/officeDocument/2006/relationships/hyperlink" Target="https://www.transfermarkt.com/spielbericht/index/spielbericht/4174054" TargetMode="External"/><Relationship Id="rId346" Type="http://schemas.openxmlformats.org/officeDocument/2006/relationships/hyperlink" Target="https://www.transfermarkt.com/spielbericht/index/spielbericht/2899853" TargetMode="External"/><Relationship Id="rId588" Type="http://schemas.openxmlformats.org/officeDocument/2006/relationships/hyperlink" Target="https://www.transfermarkt.co.uk/spielbericht/index/spielbericht/2594683" TargetMode="External"/><Relationship Id="rId109" Type="http://schemas.openxmlformats.org/officeDocument/2006/relationships/hyperlink" Target="https://www.transfermarkt.com/spielbericht/index/spielbericht/4174084" TargetMode="External"/><Relationship Id="rId108" Type="http://schemas.openxmlformats.org/officeDocument/2006/relationships/hyperlink" Target="https://www.transfermarkt.com/spielbericht/index/spielbericht/4171316" TargetMode="External"/><Relationship Id="rId341" Type="http://schemas.openxmlformats.org/officeDocument/2006/relationships/hyperlink" Target="https://www.transfermarkt.com/spielbericht/index/spielbericht/2899803" TargetMode="External"/><Relationship Id="rId583" Type="http://schemas.openxmlformats.org/officeDocument/2006/relationships/hyperlink" Target="https://www.transfermarkt.co.uk/test/spieltag/wettbewerb/ES1/saison_id/2015/spieltag/21" TargetMode="External"/><Relationship Id="rId340" Type="http://schemas.openxmlformats.org/officeDocument/2006/relationships/hyperlink" Target="https://www.transfermarkt.com/spielbericht/index/spielbericht/2899805" TargetMode="External"/><Relationship Id="rId582" Type="http://schemas.openxmlformats.org/officeDocument/2006/relationships/hyperlink" Target="https://www.transfermarkt.co.uk/spielbericht/index/spielbericht/2594661" TargetMode="External"/><Relationship Id="rId581" Type="http://schemas.openxmlformats.org/officeDocument/2006/relationships/hyperlink" Target="https://www.transfermarkt.co.uk/athletic-bilbao/startseite/verein/621/saison_id/2015" TargetMode="External"/><Relationship Id="rId580" Type="http://schemas.openxmlformats.org/officeDocument/2006/relationships/hyperlink" Target="https://www.transfermarkt.co.uk/test/spieltag/wettbewerb/ES1/saison_id/2015/spieltag/20" TargetMode="External"/><Relationship Id="rId103" Type="http://schemas.openxmlformats.org/officeDocument/2006/relationships/hyperlink" Target="https://www.transfermarkt.com/spielbericht/index/spielbericht/4112902" TargetMode="External"/><Relationship Id="rId345" Type="http://schemas.openxmlformats.org/officeDocument/2006/relationships/hyperlink" Target="https://www.transfermarkt.com/spielbericht/index/spielbericht/2899845" TargetMode="External"/><Relationship Id="rId587" Type="http://schemas.openxmlformats.org/officeDocument/2006/relationships/hyperlink" Target="https://www.transfermarkt.co.uk/atletico-madrid/startseite/verein/13/saison_id/2015" TargetMode="External"/><Relationship Id="rId102" Type="http://schemas.openxmlformats.org/officeDocument/2006/relationships/hyperlink" Target="https://www.transfermarkt.com/spielbericht/index/spielbericht/4112907" TargetMode="External"/><Relationship Id="rId344" Type="http://schemas.openxmlformats.org/officeDocument/2006/relationships/hyperlink" Target="https://www.transfermarkt.com/spielbericht/index/spielbericht/2899826" TargetMode="External"/><Relationship Id="rId586" Type="http://schemas.openxmlformats.org/officeDocument/2006/relationships/hyperlink" Target="https://www.transfermarkt.co.uk/test/spieltag/wettbewerb/ES1/saison_id/2015/spieltag/22" TargetMode="External"/><Relationship Id="rId101" Type="http://schemas.openxmlformats.org/officeDocument/2006/relationships/hyperlink" Target="https://www.transfermarkt.com/spielbericht/index/spielbericht/4112915" TargetMode="External"/><Relationship Id="rId343" Type="http://schemas.openxmlformats.org/officeDocument/2006/relationships/hyperlink" Target="https://www.transfermarkt.com/spielbericht/index/spielbericht/2899818" TargetMode="External"/><Relationship Id="rId585" Type="http://schemas.openxmlformats.org/officeDocument/2006/relationships/hyperlink" Target="https://www.transfermarkt.co.uk/spielbericht/index/spielbericht/2594674" TargetMode="External"/><Relationship Id="rId100" Type="http://schemas.openxmlformats.org/officeDocument/2006/relationships/hyperlink" Target="https://www.transfermarkt.com/spielbericht/index/spielbericht/4112957" TargetMode="External"/><Relationship Id="rId342" Type="http://schemas.openxmlformats.org/officeDocument/2006/relationships/hyperlink" Target="https://www.transfermarkt.com/spielbericht/index/spielbericht/2899819" TargetMode="External"/><Relationship Id="rId584" Type="http://schemas.openxmlformats.org/officeDocument/2006/relationships/hyperlink" Target="https://www.transfermarkt.co.uk/fc-malaga/startseite/verein/1084/saison_id/2015" TargetMode="External"/><Relationship Id="rId338" Type="http://schemas.openxmlformats.org/officeDocument/2006/relationships/hyperlink" Target="https://www.transfermarkt.com/spielbericht/index/spielbericht/2899779" TargetMode="External"/><Relationship Id="rId337" Type="http://schemas.openxmlformats.org/officeDocument/2006/relationships/hyperlink" Target="https://www.transfermarkt.com/spielbericht/index/spielbericht/2899748" TargetMode="External"/><Relationship Id="rId579" Type="http://schemas.openxmlformats.org/officeDocument/2006/relationships/hyperlink" Target="https://www.transfermarkt.co.uk/spielbericht/index/spielbericht/2594656" TargetMode="External"/><Relationship Id="rId336" Type="http://schemas.openxmlformats.org/officeDocument/2006/relationships/hyperlink" Target="https://www.transfermarkt.com/spielbericht/index/spielbericht/2899747" TargetMode="External"/><Relationship Id="rId578" Type="http://schemas.openxmlformats.org/officeDocument/2006/relationships/hyperlink" Target="https://www.transfermarkt.co.uk/fc-granada/startseite/verein/16795/saison_id/2015" TargetMode="External"/><Relationship Id="rId335" Type="http://schemas.openxmlformats.org/officeDocument/2006/relationships/hyperlink" Target="https://www.transfermarkt.com/spielbericht/index/spielbericht/2899738" TargetMode="External"/><Relationship Id="rId577" Type="http://schemas.openxmlformats.org/officeDocument/2006/relationships/hyperlink" Target="https://www.transfermarkt.co.uk/test/spieltag/wettbewerb/ES1/saison_id/2015/spieltag/19" TargetMode="External"/><Relationship Id="rId339" Type="http://schemas.openxmlformats.org/officeDocument/2006/relationships/hyperlink" Target="https://www.transfermarkt.com/spielbericht/index/spielbericht/2899791" TargetMode="External"/><Relationship Id="rId330" Type="http://schemas.openxmlformats.org/officeDocument/2006/relationships/hyperlink" Target="https://www.transfermarkt.com/spielbericht/index/spielbericht/2899695" TargetMode="External"/><Relationship Id="rId572" Type="http://schemas.openxmlformats.org/officeDocument/2006/relationships/hyperlink" Target="https://www.transfermarkt.co.uk/real-betis-sevilla/startseite/verein/150/saison_id/2015" TargetMode="External"/><Relationship Id="rId571" Type="http://schemas.openxmlformats.org/officeDocument/2006/relationships/hyperlink" Target="https://www.transfermarkt.co.uk/test/spieltag/wettbewerb/ES1/saison_id/2015/spieltag/17" TargetMode="External"/><Relationship Id="rId570" Type="http://schemas.openxmlformats.org/officeDocument/2006/relationships/hyperlink" Target="https://www.transfermarkt.co.uk/spielbericht/index/spielbericht/2594625" TargetMode="External"/><Relationship Id="rId334" Type="http://schemas.openxmlformats.org/officeDocument/2006/relationships/hyperlink" Target="https://www.transfermarkt.com/spielbericht/index/spielbericht/2899736" TargetMode="External"/><Relationship Id="rId576" Type="http://schemas.openxmlformats.org/officeDocument/2006/relationships/hyperlink" Target="https://www.transfermarkt.co.uk/spielbericht/index/spielbericht/2594646" TargetMode="External"/><Relationship Id="rId333" Type="http://schemas.openxmlformats.org/officeDocument/2006/relationships/hyperlink" Target="https://www.transfermarkt.com/spielbericht/index/spielbericht/2899719" TargetMode="External"/><Relationship Id="rId575" Type="http://schemas.openxmlformats.org/officeDocument/2006/relationships/hyperlink" Target="https://www.transfermarkt.co.uk/espanyol-barcelona/startseite/verein/714/saison_id/2015" TargetMode="External"/><Relationship Id="rId332" Type="http://schemas.openxmlformats.org/officeDocument/2006/relationships/hyperlink" Target="https://www.transfermarkt.com/spielbericht/index/spielbericht/2899698" TargetMode="External"/><Relationship Id="rId574" Type="http://schemas.openxmlformats.org/officeDocument/2006/relationships/hyperlink" Target="https://www.transfermarkt.co.uk/test/spieltag/wettbewerb/ES1/saison_id/2015/spieltag/18" TargetMode="External"/><Relationship Id="rId331" Type="http://schemas.openxmlformats.org/officeDocument/2006/relationships/hyperlink" Target="https://www.transfermarkt.com/spielbericht/index/spielbericht/2899707" TargetMode="External"/><Relationship Id="rId573" Type="http://schemas.openxmlformats.org/officeDocument/2006/relationships/hyperlink" Target="https://www.transfermarkt.co.uk/spielbericht/index/spielbericht/2594635" TargetMode="External"/><Relationship Id="rId370" Type="http://schemas.openxmlformats.org/officeDocument/2006/relationships/hyperlink" Target="https://www.transfermarkt.com/spielbericht/index/spielbericht/2993260" TargetMode="External"/><Relationship Id="rId129" Type="http://schemas.openxmlformats.org/officeDocument/2006/relationships/hyperlink" Target="https://www.transfermarkt.com/spielbericht/index/spielbericht/3886417" TargetMode="External"/><Relationship Id="rId128" Type="http://schemas.openxmlformats.org/officeDocument/2006/relationships/hyperlink" Target="https://www.transfermarkt.com/spielbericht/index/spielbericht/3886389" TargetMode="External"/><Relationship Id="rId127" Type="http://schemas.openxmlformats.org/officeDocument/2006/relationships/hyperlink" Target="https://www.transfermarkt.com/spielbericht/index/spielbericht/3886363" TargetMode="External"/><Relationship Id="rId369" Type="http://schemas.openxmlformats.org/officeDocument/2006/relationships/hyperlink" Target="https://www.transfermarkt.com/spielbericht/index/spielbericht/2989790" TargetMode="External"/><Relationship Id="rId126" Type="http://schemas.openxmlformats.org/officeDocument/2006/relationships/hyperlink" Target="https://www.transfermarkt.com/spielbericht/index/spielbericht/3886330" TargetMode="External"/><Relationship Id="rId368" Type="http://schemas.openxmlformats.org/officeDocument/2006/relationships/hyperlink" Target="https://www.transfermarkt.com/spielbericht/index/spielbericht/2989785" TargetMode="External"/><Relationship Id="rId121" Type="http://schemas.openxmlformats.org/officeDocument/2006/relationships/hyperlink" Target="https://www.transfermarkt.com/spielbericht/index/spielbericht/3886297" TargetMode="External"/><Relationship Id="rId363" Type="http://schemas.openxmlformats.org/officeDocument/2006/relationships/hyperlink" Target="https://www.transfermarkt.com/spielbericht/index/spielbericht/3018933" TargetMode="External"/><Relationship Id="rId120" Type="http://schemas.openxmlformats.org/officeDocument/2006/relationships/hyperlink" Target="https://www.transfermarkt.com/spielbericht/index/spielbericht/3885857" TargetMode="External"/><Relationship Id="rId362" Type="http://schemas.openxmlformats.org/officeDocument/2006/relationships/hyperlink" Target="https://www.transfermarkt.com/spielbericht/index/spielbericht/3018929" TargetMode="External"/><Relationship Id="rId361" Type="http://schemas.openxmlformats.org/officeDocument/2006/relationships/hyperlink" Target="https://www.transfermarkt.com/spielbericht/index/spielbericht/2982007" TargetMode="External"/><Relationship Id="rId360" Type="http://schemas.openxmlformats.org/officeDocument/2006/relationships/hyperlink" Target="https://www.transfermarkt.com/spielbericht/index/spielbericht/2981999" TargetMode="External"/><Relationship Id="rId125" Type="http://schemas.openxmlformats.org/officeDocument/2006/relationships/hyperlink" Target="https://www.transfermarkt.com/spielbericht/index/spielbericht/3886323" TargetMode="External"/><Relationship Id="rId367" Type="http://schemas.openxmlformats.org/officeDocument/2006/relationships/hyperlink" Target="https://www.transfermarkt.com/spielbericht/index/spielbericht/2978841" TargetMode="External"/><Relationship Id="rId124" Type="http://schemas.openxmlformats.org/officeDocument/2006/relationships/hyperlink" Target="https://www.transfermarkt.com/spielbericht/index/spielbericht/3886305" TargetMode="External"/><Relationship Id="rId366" Type="http://schemas.openxmlformats.org/officeDocument/2006/relationships/hyperlink" Target="https://www.transfermarkt.com/spielbericht/index/spielbericht/2982129" TargetMode="External"/><Relationship Id="rId123" Type="http://schemas.openxmlformats.org/officeDocument/2006/relationships/hyperlink" Target="https://www.transfermarkt.com/spielbericht/index/spielbericht/3886289" TargetMode="External"/><Relationship Id="rId365" Type="http://schemas.openxmlformats.org/officeDocument/2006/relationships/hyperlink" Target="https://www.transfermarkt.com/spielbericht/index/spielbericht/2929842" TargetMode="External"/><Relationship Id="rId122" Type="http://schemas.openxmlformats.org/officeDocument/2006/relationships/hyperlink" Target="https://www.transfermarkt.com/spielbericht/index/spielbericht/3858321" TargetMode="External"/><Relationship Id="rId364" Type="http://schemas.openxmlformats.org/officeDocument/2006/relationships/hyperlink" Target="https://www.transfermarkt.com/spielbericht/index/spielbericht/2929830" TargetMode="External"/><Relationship Id="rId95" Type="http://schemas.openxmlformats.org/officeDocument/2006/relationships/hyperlink" Target="https://www.transfermarkt.com/spielbericht/index/spielbericht/4112976" TargetMode="External"/><Relationship Id="rId94" Type="http://schemas.openxmlformats.org/officeDocument/2006/relationships/hyperlink" Target="https://www.transfermarkt.com/spielbericht/index/spielbericht/4112985" TargetMode="External"/><Relationship Id="rId97" Type="http://schemas.openxmlformats.org/officeDocument/2006/relationships/hyperlink" Target="https://www.transfermarkt.com/spielbericht/index/spielbericht/4112930" TargetMode="External"/><Relationship Id="rId96" Type="http://schemas.openxmlformats.org/officeDocument/2006/relationships/hyperlink" Target="https://www.transfermarkt.com/spielbericht/index/spielbericht/4113022" TargetMode="External"/><Relationship Id="rId99" Type="http://schemas.openxmlformats.org/officeDocument/2006/relationships/hyperlink" Target="https://www.transfermarkt.com/spielbericht/index/spielbericht/4112949" TargetMode="External"/><Relationship Id="rId98" Type="http://schemas.openxmlformats.org/officeDocument/2006/relationships/hyperlink" Target="https://www.transfermarkt.com/spielbericht/index/spielbericht/4112936" TargetMode="External"/><Relationship Id="rId91" Type="http://schemas.openxmlformats.org/officeDocument/2006/relationships/hyperlink" Target="https://www.transfermarkt.com/spielbericht/index/spielbericht/4113026" TargetMode="External"/><Relationship Id="rId90" Type="http://schemas.openxmlformats.org/officeDocument/2006/relationships/hyperlink" Target="https://www.transfermarkt.com/spielbericht/index/spielbericht/4113180" TargetMode="External"/><Relationship Id="rId93" Type="http://schemas.openxmlformats.org/officeDocument/2006/relationships/hyperlink" Target="https://www.transfermarkt.com/spielbericht/index/spielbericht/4112996" TargetMode="External"/><Relationship Id="rId92" Type="http://schemas.openxmlformats.org/officeDocument/2006/relationships/hyperlink" Target="https://www.transfermarkt.com/spielbericht/index/spielbericht/4113005" TargetMode="External"/><Relationship Id="rId118" Type="http://schemas.openxmlformats.org/officeDocument/2006/relationships/hyperlink" Target="https://www.transfermarkt.com/spielbericht/index/spielbericht/3844598" TargetMode="External"/><Relationship Id="rId117" Type="http://schemas.openxmlformats.org/officeDocument/2006/relationships/hyperlink" Target="https://www.transfermarkt.com/spielbericht/index/spielbericht/3844089" TargetMode="External"/><Relationship Id="rId359" Type="http://schemas.openxmlformats.org/officeDocument/2006/relationships/hyperlink" Target="https://www.transfermarkt.com/spielbericht/index/spielbericht/2917443" TargetMode="External"/><Relationship Id="rId116" Type="http://schemas.openxmlformats.org/officeDocument/2006/relationships/hyperlink" Target="https://www.transfermarkt.com/spielbericht/index/spielbericht/4270168" TargetMode="External"/><Relationship Id="rId358" Type="http://schemas.openxmlformats.org/officeDocument/2006/relationships/hyperlink" Target="https://www.transfermarkt.com/spielbericht/index/spielbericht/2917427" TargetMode="External"/><Relationship Id="rId115" Type="http://schemas.openxmlformats.org/officeDocument/2006/relationships/hyperlink" Target="https://www.transfermarkt.com/spielbericht/index/spielbericht/4259181" TargetMode="External"/><Relationship Id="rId357" Type="http://schemas.openxmlformats.org/officeDocument/2006/relationships/hyperlink" Target="https://www.transfermarkt.com/spielbericht/index/spielbericht/2917412" TargetMode="External"/><Relationship Id="rId599" Type="http://schemas.openxmlformats.org/officeDocument/2006/relationships/hyperlink" Target="https://www.transfermarkt.co.uk/fc-sevilla/startseite/verein/368/saison_id/2015" TargetMode="External"/><Relationship Id="rId119" Type="http://schemas.openxmlformats.org/officeDocument/2006/relationships/hyperlink" Target="https://www.transfermarkt.com/spielbericht/index/spielbericht/3885848" TargetMode="External"/><Relationship Id="rId110" Type="http://schemas.openxmlformats.org/officeDocument/2006/relationships/hyperlink" Target="https://www.transfermarkt.com/spielbericht/index/spielbericht/4243689" TargetMode="External"/><Relationship Id="rId352" Type="http://schemas.openxmlformats.org/officeDocument/2006/relationships/hyperlink" Target="https://www.transfermarkt.com/spielbericht/index/spielbericht/2899916" TargetMode="External"/><Relationship Id="rId594" Type="http://schemas.openxmlformats.org/officeDocument/2006/relationships/hyperlink" Target="https://www.transfermarkt.co.uk/spielbericht/index/spielbericht/2594702" TargetMode="External"/><Relationship Id="rId351" Type="http://schemas.openxmlformats.org/officeDocument/2006/relationships/hyperlink" Target="https://www.transfermarkt.com/spielbericht/index/spielbericht/2899869" TargetMode="External"/><Relationship Id="rId593" Type="http://schemas.openxmlformats.org/officeDocument/2006/relationships/hyperlink" Target="https://www.transfermarkt.co.uk/celta-vigo/startseite/verein/940/saison_id/2015" TargetMode="External"/><Relationship Id="rId350" Type="http://schemas.openxmlformats.org/officeDocument/2006/relationships/hyperlink" Target="https://www.transfermarkt.com/spielbericht/index/spielbericht/2899867" TargetMode="External"/><Relationship Id="rId592" Type="http://schemas.openxmlformats.org/officeDocument/2006/relationships/hyperlink" Target="https://www.transfermarkt.co.uk/test/spieltag/wettbewerb/ES1/saison_id/2015/spieltag/24" TargetMode="External"/><Relationship Id="rId591" Type="http://schemas.openxmlformats.org/officeDocument/2006/relationships/hyperlink" Target="https://www.transfermarkt.co.uk/spielbericht/index/spielbericht/2594693" TargetMode="External"/><Relationship Id="rId114" Type="http://schemas.openxmlformats.org/officeDocument/2006/relationships/hyperlink" Target="https://www.transfermarkt.com/spielbericht/index/spielbericht/4240828" TargetMode="External"/><Relationship Id="rId356" Type="http://schemas.openxmlformats.org/officeDocument/2006/relationships/hyperlink" Target="https://www.transfermarkt.com/spielbericht/index/spielbericht/2917396" TargetMode="External"/><Relationship Id="rId598" Type="http://schemas.openxmlformats.org/officeDocument/2006/relationships/hyperlink" Target="https://www.transfermarkt.co.uk/test/spieltag/wettbewerb/ES1/saison_id/2015/spieltag/26" TargetMode="External"/><Relationship Id="rId113" Type="http://schemas.openxmlformats.org/officeDocument/2006/relationships/hyperlink" Target="https://www.transfermarkt.com/spielbericht/index/spielbericht/4312028" TargetMode="External"/><Relationship Id="rId355" Type="http://schemas.openxmlformats.org/officeDocument/2006/relationships/hyperlink" Target="https://www.transfermarkt.com/spielbericht/index/spielbericht/2917387" TargetMode="External"/><Relationship Id="rId597" Type="http://schemas.openxmlformats.org/officeDocument/2006/relationships/hyperlink" Target="https://www.transfermarkt.co.uk/spielbericht/index/spielbericht/2594712" TargetMode="External"/><Relationship Id="rId112" Type="http://schemas.openxmlformats.org/officeDocument/2006/relationships/hyperlink" Target="https://www.transfermarkt.com/spielbericht/index/spielbericht/4312024" TargetMode="External"/><Relationship Id="rId354" Type="http://schemas.openxmlformats.org/officeDocument/2006/relationships/hyperlink" Target="https://www.transfermarkt.com/spielbericht/index/spielbericht/2917363" TargetMode="External"/><Relationship Id="rId596" Type="http://schemas.openxmlformats.org/officeDocument/2006/relationships/hyperlink" Target="https://www.transfermarkt.co.uk/ud-las-palmas/startseite/verein/472/saison_id/2015" TargetMode="External"/><Relationship Id="rId111" Type="http://schemas.openxmlformats.org/officeDocument/2006/relationships/hyperlink" Target="https://www.transfermarkt.com/spielbericht/index/spielbericht/4243697" TargetMode="External"/><Relationship Id="rId353" Type="http://schemas.openxmlformats.org/officeDocument/2006/relationships/hyperlink" Target="https://www.transfermarkt.com/spielbericht/index/spielbericht/2899920" TargetMode="External"/><Relationship Id="rId595" Type="http://schemas.openxmlformats.org/officeDocument/2006/relationships/hyperlink" Target="https://www.transfermarkt.co.uk/test/spieltag/wettbewerb/ES1/saison_id/2015/spieltag/25" TargetMode="External"/><Relationship Id="rId305" Type="http://schemas.openxmlformats.org/officeDocument/2006/relationships/hyperlink" Target="https://www.transfermarkt.com/spielbericht/index/spielbericht/3177022" TargetMode="External"/><Relationship Id="rId547" Type="http://schemas.openxmlformats.org/officeDocument/2006/relationships/hyperlink" Target="https://www.transfermarkt.co.uk/test/spieltag/wettbewerb/ES1/saison_id/2015/spieltag/9" TargetMode="External"/><Relationship Id="rId789" Type="http://schemas.openxmlformats.org/officeDocument/2006/relationships/hyperlink" Target="https://www.transfermarkt.co.uk/apoel-nikosia/startseite/verein/2784/saison_id/2014" TargetMode="External"/><Relationship Id="rId304" Type="http://schemas.openxmlformats.org/officeDocument/2006/relationships/hyperlink" Target="https://www.transfermarkt.com/spielbericht/index/spielbericht/3167768" TargetMode="External"/><Relationship Id="rId546" Type="http://schemas.openxmlformats.org/officeDocument/2006/relationships/hyperlink" Target="https://www.transfermarkt.co.uk/spielbericht/index/spielbericht/2594541" TargetMode="External"/><Relationship Id="rId788" Type="http://schemas.openxmlformats.org/officeDocument/2006/relationships/hyperlink" Target="https://www.transfermarkt.co.uk/spielbericht/index/spielbericht/2475552" TargetMode="External"/><Relationship Id="rId303" Type="http://schemas.openxmlformats.org/officeDocument/2006/relationships/hyperlink" Target="https://www.transfermarkt.com/spielbericht/index/spielbericht/3167767" TargetMode="External"/><Relationship Id="rId545" Type="http://schemas.openxmlformats.org/officeDocument/2006/relationships/hyperlink" Target="https://www.transfermarkt.co.uk/rayo-vallecano/startseite/verein/367/saison_id/2015" TargetMode="External"/><Relationship Id="rId787" Type="http://schemas.openxmlformats.org/officeDocument/2006/relationships/hyperlink" Target="https://www.transfermarkt.co.uk/deportivo-la-coruna/startseite/verein/897/saison_id/2014" TargetMode="External"/><Relationship Id="rId302" Type="http://schemas.openxmlformats.org/officeDocument/2006/relationships/hyperlink" Target="https://www.transfermarkt.com/spielbericht/index/spielbericht/3135810" TargetMode="External"/><Relationship Id="rId544" Type="http://schemas.openxmlformats.org/officeDocument/2006/relationships/hyperlink" Target="https://www.transfermarkt.co.uk/test/spieltag/wettbewerb/ES1/saison_id/2015/spieltag/8" TargetMode="External"/><Relationship Id="rId786" Type="http://schemas.openxmlformats.org/officeDocument/2006/relationships/hyperlink" Target="https://www.transfermarkt.co.uk/test/spieltag/wettbewerb/ES1/saison_id/2014/spieltag/38" TargetMode="External"/><Relationship Id="rId309" Type="http://schemas.openxmlformats.org/officeDocument/2006/relationships/hyperlink" Target="https://www.transfermarkt.com/spielbericht/index/spielbericht/3142959" TargetMode="External"/><Relationship Id="rId308" Type="http://schemas.openxmlformats.org/officeDocument/2006/relationships/hyperlink" Target="https://www.transfermarkt.com/spielbericht/index/spielbericht/3118601" TargetMode="External"/><Relationship Id="rId307" Type="http://schemas.openxmlformats.org/officeDocument/2006/relationships/hyperlink" Target="https://www.transfermarkt.com/spielbericht/index/spielbericht/3118582" TargetMode="External"/><Relationship Id="rId549" Type="http://schemas.openxmlformats.org/officeDocument/2006/relationships/hyperlink" Target="https://www.transfermarkt.co.uk/spielbericht/index/spielbericht/2594551" TargetMode="External"/><Relationship Id="rId306" Type="http://schemas.openxmlformats.org/officeDocument/2006/relationships/hyperlink" Target="https://www.transfermarkt.com/spielbericht/index/spielbericht/3177025" TargetMode="External"/><Relationship Id="rId548" Type="http://schemas.openxmlformats.org/officeDocument/2006/relationships/hyperlink" Target="https://www.transfermarkt.co.uk/sd-eibar/startseite/verein/1533/saison_id/2015" TargetMode="External"/><Relationship Id="rId781" Type="http://schemas.openxmlformats.org/officeDocument/2006/relationships/hyperlink" Target="https://www.transfermarkt.co.uk/real-sociedad-san-sebastian/startseite/verein/681/saison_id/2014" TargetMode="External"/><Relationship Id="rId780" Type="http://schemas.openxmlformats.org/officeDocument/2006/relationships/hyperlink" Target="https://www.transfermarkt.co.uk/test/spieltag/wettbewerb/ES1/saison_id/2014/spieltag/36" TargetMode="External"/><Relationship Id="rId301" Type="http://schemas.openxmlformats.org/officeDocument/2006/relationships/hyperlink" Target="https://www.transfermarkt.com/spielbericht/index/spielbericht/3135805" TargetMode="External"/><Relationship Id="rId543" Type="http://schemas.openxmlformats.org/officeDocument/2006/relationships/hyperlink" Target="https://www.transfermarkt.co.uk/spielbericht/index/spielbericht/2594531" TargetMode="External"/><Relationship Id="rId785" Type="http://schemas.openxmlformats.org/officeDocument/2006/relationships/hyperlink" Target="https://www.transfermarkt.co.uk/spielbericht/index/spielbericht/2475543" TargetMode="External"/><Relationship Id="rId300" Type="http://schemas.openxmlformats.org/officeDocument/2006/relationships/hyperlink" Target="https://www.transfermarkt.com/spielbericht/index/spielbericht/3098045" TargetMode="External"/><Relationship Id="rId542" Type="http://schemas.openxmlformats.org/officeDocument/2006/relationships/hyperlink" Target="https://www.transfermarkt.co.uk/fc-sevilla/startseite/verein/368/saison_id/2015" TargetMode="External"/><Relationship Id="rId784" Type="http://schemas.openxmlformats.org/officeDocument/2006/relationships/hyperlink" Target="https://www.transfermarkt.co.uk/atletico-madrid/startseite/verein/13/saison_id/2014" TargetMode="External"/><Relationship Id="rId541" Type="http://schemas.openxmlformats.org/officeDocument/2006/relationships/hyperlink" Target="https://www.transfermarkt.co.uk/test/spieltag/wettbewerb/ES1/saison_id/2015/spieltag/7" TargetMode="External"/><Relationship Id="rId783" Type="http://schemas.openxmlformats.org/officeDocument/2006/relationships/hyperlink" Target="https://www.transfermarkt.co.uk/test/spieltag/wettbewerb/ES1/saison_id/2014/spieltag/37" TargetMode="External"/><Relationship Id="rId540" Type="http://schemas.openxmlformats.org/officeDocument/2006/relationships/hyperlink" Target="https://www.transfermarkt.co.uk/spielbericht/index/spielbericht/2594522" TargetMode="External"/><Relationship Id="rId782" Type="http://schemas.openxmlformats.org/officeDocument/2006/relationships/hyperlink" Target="https://www.transfermarkt.co.uk/spielbericht/index/spielbericht/2475533" TargetMode="External"/><Relationship Id="rId536" Type="http://schemas.openxmlformats.org/officeDocument/2006/relationships/hyperlink" Target="https://www.transfermarkt.co.uk/celta-vigo/startseite/verein/940/saison_id/2015" TargetMode="External"/><Relationship Id="rId778" Type="http://schemas.openxmlformats.org/officeDocument/2006/relationships/hyperlink" Target="https://www.transfermarkt.co.uk/fc-cordoba/startseite/verein/993/saison_id/2014" TargetMode="External"/><Relationship Id="rId535" Type="http://schemas.openxmlformats.org/officeDocument/2006/relationships/hyperlink" Target="https://www.transfermarkt.co.uk/test/spieltag/wettbewerb/ES1/saison_id/2015/spieltag/5" TargetMode="External"/><Relationship Id="rId777" Type="http://schemas.openxmlformats.org/officeDocument/2006/relationships/hyperlink" Target="https://www.transfermarkt.co.uk/test/spieltag/wettbewerb/ES1/saison_id/2014/spieltag/35" TargetMode="External"/><Relationship Id="rId534" Type="http://schemas.openxmlformats.org/officeDocument/2006/relationships/hyperlink" Target="https://www.transfermarkt.co.uk/spielbericht/index/spielbericht/2594503" TargetMode="External"/><Relationship Id="rId776" Type="http://schemas.openxmlformats.org/officeDocument/2006/relationships/hyperlink" Target="https://www.transfermarkt.co.uk/spielbericht/index/spielbericht/2475514" TargetMode="External"/><Relationship Id="rId533" Type="http://schemas.openxmlformats.org/officeDocument/2006/relationships/hyperlink" Target="https://www.transfermarkt.co.uk/ud-levante/startseite/verein/3368/saison_id/2015" TargetMode="External"/><Relationship Id="rId775" Type="http://schemas.openxmlformats.org/officeDocument/2006/relationships/hyperlink" Target="https://www.transfermarkt.co.uk/fc-getafe/startseite/verein/3709/saison_id/2014" TargetMode="External"/><Relationship Id="rId539" Type="http://schemas.openxmlformats.org/officeDocument/2006/relationships/hyperlink" Target="https://www.transfermarkt.co.uk/ud-las-palmas/startseite/verein/472/saison_id/2015" TargetMode="External"/><Relationship Id="rId538" Type="http://schemas.openxmlformats.org/officeDocument/2006/relationships/hyperlink" Target="https://www.transfermarkt.co.uk/test/spieltag/wettbewerb/ES1/saison_id/2015/spieltag/6" TargetMode="External"/><Relationship Id="rId537" Type="http://schemas.openxmlformats.org/officeDocument/2006/relationships/hyperlink" Target="https://www.transfermarkt.co.uk/spielbericht/index/spielbericht/2594512" TargetMode="External"/><Relationship Id="rId779" Type="http://schemas.openxmlformats.org/officeDocument/2006/relationships/hyperlink" Target="https://www.transfermarkt.co.uk/spielbericht/index/spielbericht/2475524" TargetMode="External"/><Relationship Id="rId770" Type="http://schemas.openxmlformats.org/officeDocument/2006/relationships/hyperlink" Target="https://www.transfermarkt.co.uk/spielbericht/index/spielbericht/2475495" TargetMode="External"/><Relationship Id="rId532" Type="http://schemas.openxmlformats.org/officeDocument/2006/relationships/hyperlink" Target="https://www.transfermarkt.co.uk/test/spieltag/wettbewerb/ES1/saison_id/2015/spieltag/4" TargetMode="External"/><Relationship Id="rId774" Type="http://schemas.openxmlformats.org/officeDocument/2006/relationships/hyperlink" Target="https://www.transfermarkt.co.uk/test/spieltag/wettbewerb/ES1/saison_id/2014/spieltag/34" TargetMode="External"/><Relationship Id="rId531" Type="http://schemas.openxmlformats.org/officeDocument/2006/relationships/hyperlink" Target="https://www.transfermarkt.co.uk/spielbericht/index/spielbericht/2594493" TargetMode="External"/><Relationship Id="rId773" Type="http://schemas.openxmlformats.org/officeDocument/2006/relationships/hyperlink" Target="https://www.transfermarkt.co.uk/spielbericht/index/spielbericht/2475505" TargetMode="External"/><Relationship Id="rId530" Type="http://schemas.openxmlformats.org/officeDocument/2006/relationships/hyperlink" Target="https://www.transfermarkt.co.uk/atletico-madrid/startseite/verein/13/saison_id/2015" TargetMode="External"/><Relationship Id="rId772" Type="http://schemas.openxmlformats.org/officeDocument/2006/relationships/hyperlink" Target="https://www.transfermarkt.co.uk/espanyol-barcelona/startseite/verein/714/saison_id/2014" TargetMode="External"/><Relationship Id="rId771" Type="http://schemas.openxmlformats.org/officeDocument/2006/relationships/hyperlink" Target="https://www.transfermarkt.co.uk/test/spieltag/wettbewerb/ES1/saison_id/2014/spieltag/33" TargetMode="External"/><Relationship Id="rId327" Type="http://schemas.openxmlformats.org/officeDocument/2006/relationships/hyperlink" Target="https://www.transfermarkt.com/spielbericht/index/spielbericht/2899654" TargetMode="External"/><Relationship Id="rId569" Type="http://schemas.openxmlformats.org/officeDocument/2006/relationships/hyperlink" Target="https://www.transfermarkt.co.uk/sporting-gijon/startseite/verein/2448/saison_id/2015" TargetMode="External"/><Relationship Id="rId326" Type="http://schemas.openxmlformats.org/officeDocument/2006/relationships/hyperlink" Target="https://www.transfermarkt.com/spielbericht/index/spielbericht/2899665" TargetMode="External"/><Relationship Id="rId568" Type="http://schemas.openxmlformats.org/officeDocument/2006/relationships/hyperlink" Target="https://www.transfermarkt.co.uk/test/spieltag/wettbewerb/ES1/saison_id/2015/spieltag/16" TargetMode="External"/><Relationship Id="rId325" Type="http://schemas.openxmlformats.org/officeDocument/2006/relationships/hyperlink" Target="https://www.transfermarkt.com/spielbericht/index/spielbericht/2899649" TargetMode="External"/><Relationship Id="rId567" Type="http://schemas.openxmlformats.org/officeDocument/2006/relationships/hyperlink" Target="https://www.transfermarkt.co.uk/spielbericht/index/spielbericht/2594614" TargetMode="External"/><Relationship Id="rId324" Type="http://schemas.openxmlformats.org/officeDocument/2006/relationships/hyperlink" Target="https://www.transfermarkt.com/spielbericht/index/spielbericht/2899630" TargetMode="External"/><Relationship Id="rId566" Type="http://schemas.openxmlformats.org/officeDocument/2006/relationships/hyperlink" Target="https://www.transfermarkt.co.uk/deportivo-la-coruna/startseite/verein/897/saison_id/2015" TargetMode="External"/><Relationship Id="rId329" Type="http://schemas.openxmlformats.org/officeDocument/2006/relationships/hyperlink" Target="https://www.transfermarkt.com/spielbericht/index/spielbericht/2899684" TargetMode="External"/><Relationship Id="rId328" Type="http://schemas.openxmlformats.org/officeDocument/2006/relationships/hyperlink" Target="https://www.transfermarkt.com/spielbericht/index/spielbericht/2899661" TargetMode="External"/><Relationship Id="rId561" Type="http://schemas.openxmlformats.org/officeDocument/2006/relationships/hyperlink" Target="https://www.transfermarkt.co.uk/spielbericht/index/spielbericht/2594593" TargetMode="External"/><Relationship Id="rId560" Type="http://schemas.openxmlformats.org/officeDocument/2006/relationships/hyperlink" Target="https://www.transfermarkt.co.uk/real-sociedad-san-sebastian/startseite/verein/681/saison_id/2015" TargetMode="External"/><Relationship Id="rId323" Type="http://schemas.openxmlformats.org/officeDocument/2006/relationships/hyperlink" Target="https://www.transfermarkt.com/spielbericht/index/spielbericht/2899617" TargetMode="External"/><Relationship Id="rId565" Type="http://schemas.openxmlformats.org/officeDocument/2006/relationships/hyperlink" Target="https://www.transfermarkt.co.uk/test/spieltag/wettbewerb/ES1/saison_id/2015/spieltag/15" TargetMode="External"/><Relationship Id="rId322" Type="http://schemas.openxmlformats.org/officeDocument/2006/relationships/hyperlink" Target="https://www.transfermarkt.com/spielbericht/index/spielbericht/2899620" TargetMode="External"/><Relationship Id="rId564" Type="http://schemas.openxmlformats.org/officeDocument/2006/relationships/hyperlink" Target="https://www.transfermarkt.co.uk/spielbericht/index/spielbericht/2594604" TargetMode="External"/><Relationship Id="rId321" Type="http://schemas.openxmlformats.org/officeDocument/2006/relationships/hyperlink" Target="https://www.transfermarkt.com/spielbericht/index/spielbericht/2899605" TargetMode="External"/><Relationship Id="rId563" Type="http://schemas.openxmlformats.org/officeDocument/2006/relationships/hyperlink" Target="https://www.transfermarkt.co.uk/fc-valencia/startseite/verein/1049/saison_id/2015" TargetMode="External"/><Relationship Id="rId320" Type="http://schemas.openxmlformats.org/officeDocument/2006/relationships/hyperlink" Target="https://www.transfermarkt.com/spielbericht/index/spielbericht/2899594" TargetMode="External"/><Relationship Id="rId562" Type="http://schemas.openxmlformats.org/officeDocument/2006/relationships/hyperlink" Target="https://www.transfermarkt.co.uk/test/spieltag/wettbewerb/ES1/saison_id/2015/spieltag/14" TargetMode="External"/><Relationship Id="rId316" Type="http://schemas.openxmlformats.org/officeDocument/2006/relationships/hyperlink" Target="https://www.transfermarkt.com/spielbericht/index/spielbericht/2899566" TargetMode="External"/><Relationship Id="rId558" Type="http://schemas.openxmlformats.org/officeDocument/2006/relationships/hyperlink" Target="https://www.transfermarkt.co.uk/spielbericht/index/spielbericht/2594583" TargetMode="External"/><Relationship Id="rId315" Type="http://schemas.openxmlformats.org/officeDocument/2006/relationships/hyperlink" Target="https://www.transfermarkt.com/spielbericht/index/spielbericht/3162692" TargetMode="External"/><Relationship Id="rId557" Type="http://schemas.openxmlformats.org/officeDocument/2006/relationships/hyperlink" Target="https://www.transfermarkt.co.uk/real-madrid/startseite/verein/418/saison_id/2015" TargetMode="External"/><Relationship Id="rId799" Type="http://schemas.openxmlformats.org/officeDocument/2006/relationships/hyperlink" Target="https://www.transfermarkt.co.uk/fc-paris-saint-germain/startseite/verein/583/saison_id/2014" TargetMode="External"/><Relationship Id="rId314" Type="http://schemas.openxmlformats.org/officeDocument/2006/relationships/hyperlink" Target="https://www.transfermarkt.com/spielbericht/index/spielbericht/3153160" TargetMode="External"/><Relationship Id="rId556" Type="http://schemas.openxmlformats.org/officeDocument/2006/relationships/hyperlink" Target="https://www.transfermarkt.co.uk/test/spieltag/wettbewerb/ES1/saison_id/2015/spieltag/12" TargetMode="External"/><Relationship Id="rId798" Type="http://schemas.openxmlformats.org/officeDocument/2006/relationships/hyperlink" Target="https://www.transfermarkt.co.uk/spielbericht/index/spielbericht/2495345" TargetMode="External"/><Relationship Id="rId313" Type="http://schemas.openxmlformats.org/officeDocument/2006/relationships/hyperlink" Target="https://www.transfermarkt.com/spielbericht/index/spielbericht/3153158" TargetMode="External"/><Relationship Id="rId555" Type="http://schemas.openxmlformats.org/officeDocument/2006/relationships/hyperlink" Target="https://www.transfermarkt.co.uk/spielbericht/index/spielbericht/2594572" TargetMode="External"/><Relationship Id="rId797" Type="http://schemas.openxmlformats.org/officeDocument/2006/relationships/hyperlink" Target="https://www.transfermarkt.co.uk/apoel-nikosia/startseite/verein/2784/saison_id/2014" TargetMode="External"/><Relationship Id="rId319" Type="http://schemas.openxmlformats.org/officeDocument/2006/relationships/hyperlink" Target="https://www.transfermarkt.com/spielbericht/index/spielbericht/2899586" TargetMode="External"/><Relationship Id="rId318" Type="http://schemas.openxmlformats.org/officeDocument/2006/relationships/hyperlink" Target="https://www.transfermarkt.com/spielbericht/index/spielbericht/2899570" TargetMode="External"/><Relationship Id="rId317" Type="http://schemas.openxmlformats.org/officeDocument/2006/relationships/hyperlink" Target="https://www.transfermarkt.com/spielbericht/index/spielbericht/2899930" TargetMode="External"/><Relationship Id="rId559" Type="http://schemas.openxmlformats.org/officeDocument/2006/relationships/hyperlink" Target="https://www.transfermarkt.co.uk/test/spieltag/wettbewerb/ES1/saison_id/2015/spieltag/13" TargetMode="External"/><Relationship Id="rId550" Type="http://schemas.openxmlformats.org/officeDocument/2006/relationships/hyperlink" Target="https://www.transfermarkt.co.uk/test/spieltag/wettbewerb/ES1/saison_id/2015/spieltag/10" TargetMode="External"/><Relationship Id="rId792" Type="http://schemas.openxmlformats.org/officeDocument/2006/relationships/hyperlink" Target="https://www.transfermarkt.co.uk/spielbericht/index/spielbericht/2495296" TargetMode="External"/><Relationship Id="rId791" Type="http://schemas.openxmlformats.org/officeDocument/2006/relationships/hyperlink" Target="https://www.transfermarkt.co.uk/fc-paris-saint-germain/startseite/verein/583/saison_id/2014" TargetMode="External"/><Relationship Id="rId790" Type="http://schemas.openxmlformats.org/officeDocument/2006/relationships/hyperlink" Target="https://www.transfermarkt.co.uk/spielbericht/index/spielbericht/2490852" TargetMode="External"/><Relationship Id="rId312" Type="http://schemas.openxmlformats.org/officeDocument/2006/relationships/hyperlink" Target="https://www.transfermarkt.com/spielbericht/index/spielbericht/3148385" TargetMode="External"/><Relationship Id="rId554" Type="http://schemas.openxmlformats.org/officeDocument/2006/relationships/hyperlink" Target="https://www.transfermarkt.co.uk/fc-villarreal/startseite/verein/1050/saison_id/2015" TargetMode="External"/><Relationship Id="rId796" Type="http://schemas.openxmlformats.org/officeDocument/2006/relationships/hyperlink" Target="https://www.transfermarkt.co.uk/spielbericht/index/spielbericht/2495336" TargetMode="External"/><Relationship Id="rId311" Type="http://schemas.openxmlformats.org/officeDocument/2006/relationships/hyperlink" Target="https://www.transfermarkt.com/spielbericht/index/spielbericht/3148381" TargetMode="External"/><Relationship Id="rId553" Type="http://schemas.openxmlformats.org/officeDocument/2006/relationships/hyperlink" Target="https://www.transfermarkt.co.uk/test/spieltag/wettbewerb/ES1/saison_id/2015/spieltag/11" TargetMode="External"/><Relationship Id="rId795" Type="http://schemas.openxmlformats.org/officeDocument/2006/relationships/hyperlink" Target="https://www.transfermarkt.co.uk/ajax-amsterdam/startseite/verein/610/saison_id/2014" TargetMode="External"/><Relationship Id="rId310" Type="http://schemas.openxmlformats.org/officeDocument/2006/relationships/hyperlink" Target="https://www.transfermarkt.com/spielbericht/index/spielbericht/3142975" TargetMode="External"/><Relationship Id="rId552" Type="http://schemas.openxmlformats.org/officeDocument/2006/relationships/hyperlink" Target="https://www.transfermarkt.co.uk/spielbericht/index/spielbericht/2594561" TargetMode="External"/><Relationship Id="rId794" Type="http://schemas.openxmlformats.org/officeDocument/2006/relationships/hyperlink" Target="https://www.transfermarkt.co.uk/spielbericht/index/spielbericht/2495313" TargetMode="External"/><Relationship Id="rId551" Type="http://schemas.openxmlformats.org/officeDocument/2006/relationships/hyperlink" Target="https://www.transfermarkt.co.uk/fc-getafe/startseite/verein/3709/saison_id/2015" TargetMode="External"/><Relationship Id="rId793" Type="http://schemas.openxmlformats.org/officeDocument/2006/relationships/hyperlink" Target="https://www.transfermarkt.co.uk/ajax-amsterdam/startseite/verein/610/saison_id/2014" TargetMode="External"/><Relationship Id="rId297" Type="http://schemas.openxmlformats.org/officeDocument/2006/relationships/hyperlink" Target="https://www.transfermarkt.com/spielbericht/index/spielbericht/3097998" TargetMode="External"/><Relationship Id="rId296" Type="http://schemas.openxmlformats.org/officeDocument/2006/relationships/hyperlink" Target="https://www.transfermarkt.com/spielbericht/index/spielbericht/3097981" TargetMode="External"/><Relationship Id="rId295" Type="http://schemas.openxmlformats.org/officeDocument/2006/relationships/hyperlink" Target="https://www.transfermarkt.com/spielbericht/index/spielbericht/3097957" TargetMode="External"/><Relationship Id="rId294" Type="http://schemas.openxmlformats.org/officeDocument/2006/relationships/hyperlink" Target="https://www.transfermarkt.com/spielbericht/index/spielbericht/3081128" TargetMode="External"/><Relationship Id="rId299" Type="http://schemas.openxmlformats.org/officeDocument/2006/relationships/hyperlink" Target="https://www.transfermarkt.com/spielbericht/index/spielbericht/3098029" TargetMode="External"/><Relationship Id="rId298" Type="http://schemas.openxmlformats.org/officeDocument/2006/relationships/hyperlink" Target="https://www.transfermarkt.com/spielbericht/index/spielbericht/3098014" TargetMode="External"/><Relationship Id="rId271" Type="http://schemas.openxmlformats.org/officeDocument/2006/relationships/hyperlink" Target="https://www.transfermarkt.com/spielbericht/index/spielbericht/3079491" TargetMode="External"/><Relationship Id="rId270" Type="http://schemas.openxmlformats.org/officeDocument/2006/relationships/hyperlink" Target="https://www.transfermarkt.com/spielbericht/index/spielbericht/3079472" TargetMode="External"/><Relationship Id="rId269" Type="http://schemas.openxmlformats.org/officeDocument/2006/relationships/hyperlink" Target="https://www.transfermarkt.com/spielbericht/index/spielbericht/3079461" TargetMode="External"/><Relationship Id="rId264" Type="http://schemas.openxmlformats.org/officeDocument/2006/relationships/hyperlink" Target="https://www.transfermarkt.com/spielbericht/index/spielbericht/3079416" TargetMode="External"/><Relationship Id="rId263" Type="http://schemas.openxmlformats.org/officeDocument/2006/relationships/hyperlink" Target="https://www.transfermarkt.com/spielbericht/index/spielbericht/3079406" TargetMode="External"/><Relationship Id="rId262" Type="http://schemas.openxmlformats.org/officeDocument/2006/relationships/hyperlink" Target="https://www.transfermarkt.com/spielbericht/index/spielbericht/3079393" TargetMode="External"/><Relationship Id="rId261" Type="http://schemas.openxmlformats.org/officeDocument/2006/relationships/hyperlink" Target="https://www.transfermarkt.com/spielbericht/index/spielbericht/3079380" TargetMode="External"/><Relationship Id="rId268" Type="http://schemas.openxmlformats.org/officeDocument/2006/relationships/hyperlink" Target="https://www.transfermarkt.com/spielbericht/index/spielbericht/3079452" TargetMode="External"/><Relationship Id="rId267" Type="http://schemas.openxmlformats.org/officeDocument/2006/relationships/hyperlink" Target="https://www.transfermarkt.com/spielbericht/index/spielbericht/3079447" TargetMode="External"/><Relationship Id="rId266" Type="http://schemas.openxmlformats.org/officeDocument/2006/relationships/hyperlink" Target="https://www.transfermarkt.com/spielbericht/index/spielbericht/3079431" TargetMode="External"/><Relationship Id="rId265" Type="http://schemas.openxmlformats.org/officeDocument/2006/relationships/hyperlink" Target="https://www.transfermarkt.com/spielbericht/index/spielbericht/3079421" TargetMode="External"/><Relationship Id="rId260" Type="http://schemas.openxmlformats.org/officeDocument/2006/relationships/hyperlink" Target="https://www.transfermarkt.com/spielbericht/index/spielbericht/3079376" TargetMode="External"/><Relationship Id="rId259" Type="http://schemas.openxmlformats.org/officeDocument/2006/relationships/hyperlink" Target="https://www.transfermarkt.com/spielbericht/index/spielbericht/3079324" TargetMode="External"/><Relationship Id="rId258" Type="http://schemas.openxmlformats.org/officeDocument/2006/relationships/hyperlink" Target="https://www.transfermarkt.com/spielbericht/index/spielbericht/3079320" TargetMode="External"/><Relationship Id="rId253" Type="http://schemas.openxmlformats.org/officeDocument/2006/relationships/hyperlink" Target="https://www.transfermarkt.com/spielbericht/index/spielbericht/3291934" TargetMode="External"/><Relationship Id="rId495" Type="http://schemas.openxmlformats.org/officeDocument/2006/relationships/hyperlink" Target="https://www.transfermarkt.com/borussia-monchengladbach/startseite/verein/18/saison_id/2016" TargetMode="External"/><Relationship Id="rId252" Type="http://schemas.openxmlformats.org/officeDocument/2006/relationships/hyperlink" Target="https://www.transfermarkt.com/spielbericht/index/spielbericht/3252237" TargetMode="External"/><Relationship Id="rId494" Type="http://schemas.openxmlformats.org/officeDocument/2006/relationships/hyperlink" Target="https://www.transfermarkt.com/spielbericht/index/spielbericht/2755717" TargetMode="External"/><Relationship Id="rId251" Type="http://schemas.openxmlformats.org/officeDocument/2006/relationships/hyperlink" Target="https://www.transfermarkt.com/spielbericht/index/spielbericht/3252228" TargetMode="External"/><Relationship Id="rId493" Type="http://schemas.openxmlformats.org/officeDocument/2006/relationships/hyperlink" Target="https://www.transfermarkt.com/celtic-glasgow/startseite/verein/371/saison_id/2016" TargetMode="External"/><Relationship Id="rId250" Type="http://schemas.openxmlformats.org/officeDocument/2006/relationships/hyperlink" Target="https://www.transfermarkt.com/spielbericht/index/spielbericht/3252204" TargetMode="External"/><Relationship Id="rId492" Type="http://schemas.openxmlformats.org/officeDocument/2006/relationships/hyperlink" Target="https://www.transfermarkt.com/spielbericht/index/spielbericht/2755694" TargetMode="External"/><Relationship Id="rId257" Type="http://schemas.openxmlformats.org/officeDocument/2006/relationships/hyperlink" Target="https://www.transfermarkt.com/spielbericht/index/spielbericht/3079309" TargetMode="External"/><Relationship Id="rId499" Type="http://schemas.openxmlformats.org/officeDocument/2006/relationships/hyperlink" Target="https://www.transfermarkt.com/fc-paris-saint-germain/startseite/verein/583/saison_id/2016" TargetMode="External"/><Relationship Id="rId256" Type="http://schemas.openxmlformats.org/officeDocument/2006/relationships/hyperlink" Target="https://www.transfermarkt.com/spielbericht/index/spielbericht/3312783" TargetMode="External"/><Relationship Id="rId498" Type="http://schemas.openxmlformats.org/officeDocument/2006/relationships/hyperlink" Target="https://www.transfermarkt.com/spielbericht/index/spielbericht/2805643" TargetMode="External"/><Relationship Id="rId255" Type="http://schemas.openxmlformats.org/officeDocument/2006/relationships/hyperlink" Target="https://www.transfermarkt.com/spielbericht/index/spielbericht/3310294" TargetMode="External"/><Relationship Id="rId497" Type="http://schemas.openxmlformats.org/officeDocument/2006/relationships/hyperlink" Target="https://www.transfermarkt.com/fc-paris-saint-germain/startseite/verein/583/saison_id/2016" TargetMode="External"/><Relationship Id="rId254" Type="http://schemas.openxmlformats.org/officeDocument/2006/relationships/hyperlink" Target="https://www.transfermarkt.com/spielbericht/index/spielbericht/3307692" TargetMode="External"/><Relationship Id="rId496" Type="http://schemas.openxmlformats.org/officeDocument/2006/relationships/hyperlink" Target="https://www.transfermarkt.com/spielbericht/index/spielbericht/2755732" TargetMode="External"/><Relationship Id="rId293" Type="http://schemas.openxmlformats.org/officeDocument/2006/relationships/hyperlink" Target="https://www.transfermarkt.com/spielbericht/index/spielbericht/3081113" TargetMode="External"/><Relationship Id="rId292" Type="http://schemas.openxmlformats.org/officeDocument/2006/relationships/hyperlink" Target="https://www.transfermarkt.com/spielbericht/index/spielbericht/3081108" TargetMode="External"/><Relationship Id="rId291" Type="http://schemas.openxmlformats.org/officeDocument/2006/relationships/hyperlink" Target="https://www.transfermarkt.com/spielbericht/index/spielbericht/3081092" TargetMode="External"/><Relationship Id="rId290" Type="http://schemas.openxmlformats.org/officeDocument/2006/relationships/hyperlink" Target="https://www.transfermarkt.com/spielbericht/index/spielbericht/3081081" TargetMode="External"/><Relationship Id="rId286" Type="http://schemas.openxmlformats.org/officeDocument/2006/relationships/hyperlink" Target="https://www.transfermarkt.com/spielbericht/index/spielbericht/3080868" TargetMode="External"/><Relationship Id="rId285" Type="http://schemas.openxmlformats.org/officeDocument/2006/relationships/hyperlink" Target="https://www.transfermarkt.com/spielbericht/index/spielbericht/3080853" TargetMode="External"/><Relationship Id="rId284" Type="http://schemas.openxmlformats.org/officeDocument/2006/relationships/hyperlink" Target="https://www.transfermarkt.com/spielbericht/index/spielbericht/3080846" TargetMode="External"/><Relationship Id="rId283" Type="http://schemas.openxmlformats.org/officeDocument/2006/relationships/hyperlink" Target="https://www.transfermarkt.com/spielbericht/index/spielbericht/3080835" TargetMode="External"/><Relationship Id="rId289" Type="http://schemas.openxmlformats.org/officeDocument/2006/relationships/hyperlink" Target="https://www.transfermarkt.com/spielbericht/index/spielbericht/3080893" TargetMode="External"/><Relationship Id="rId288" Type="http://schemas.openxmlformats.org/officeDocument/2006/relationships/hyperlink" Target="https://www.transfermarkt.com/spielbericht/index/spielbericht/3080887" TargetMode="External"/><Relationship Id="rId287" Type="http://schemas.openxmlformats.org/officeDocument/2006/relationships/hyperlink" Target="https://www.transfermarkt.com/spielbericht/index/spielbericht/3080877" TargetMode="External"/><Relationship Id="rId282" Type="http://schemas.openxmlformats.org/officeDocument/2006/relationships/hyperlink" Target="https://www.transfermarkt.com/spielbericht/index/spielbericht/3080826" TargetMode="External"/><Relationship Id="rId281" Type="http://schemas.openxmlformats.org/officeDocument/2006/relationships/hyperlink" Target="https://www.transfermarkt.com/spielbericht/index/spielbericht/3080820" TargetMode="External"/><Relationship Id="rId280" Type="http://schemas.openxmlformats.org/officeDocument/2006/relationships/hyperlink" Target="https://www.transfermarkt.com/spielbericht/index/spielbericht/3080802" TargetMode="External"/><Relationship Id="rId275" Type="http://schemas.openxmlformats.org/officeDocument/2006/relationships/hyperlink" Target="https://www.transfermarkt.com/spielbericht/index/spielbericht/3079527" TargetMode="External"/><Relationship Id="rId274" Type="http://schemas.openxmlformats.org/officeDocument/2006/relationships/hyperlink" Target="https://www.transfermarkt.com/spielbericht/index/spielbericht/3079521" TargetMode="External"/><Relationship Id="rId273" Type="http://schemas.openxmlformats.org/officeDocument/2006/relationships/hyperlink" Target="https://www.transfermarkt.com/spielbericht/index/spielbericht/3079507" TargetMode="External"/><Relationship Id="rId272" Type="http://schemas.openxmlformats.org/officeDocument/2006/relationships/hyperlink" Target="https://www.transfermarkt.com/spielbericht/index/spielbericht/3079501" TargetMode="External"/><Relationship Id="rId279" Type="http://schemas.openxmlformats.org/officeDocument/2006/relationships/hyperlink" Target="https://www.transfermarkt.com/spielbericht/index/spielbericht/3080794" TargetMode="External"/><Relationship Id="rId278" Type="http://schemas.openxmlformats.org/officeDocument/2006/relationships/hyperlink" Target="https://www.transfermarkt.com/spielbericht/index/spielbericht/3080782" TargetMode="External"/><Relationship Id="rId277" Type="http://schemas.openxmlformats.org/officeDocument/2006/relationships/hyperlink" Target="https://www.transfermarkt.com/spielbericht/index/spielbericht/3080777" TargetMode="External"/><Relationship Id="rId276" Type="http://schemas.openxmlformats.org/officeDocument/2006/relationships/hyperlink" Target="https://www.transfermarkt.com/spielbericht/index/spielbericht/3080762" TargetMode="External"/><Relationship Id="rId629" Type="http://schemas.openxmlformats.org/officeDocument/2006/relationships/hyperlink" Target="https://www.transfermarkt.co.uk/real-betis-sevilla/startseite/verein/150/saison_id/2015" TargetMode="External"/><Relationship Id="rId624" Type="http://schemas.openxmlformats.org/officeDocument/2006/relationships/hyperlink" Target="https://www.transfermarkt.co.uk/spielbericht/index/spielbericht/2594804" TargetMode="External"/><Relationship Id="rId623" Type="http://schemas.openxmlformats.org/officeDocument/2006/relationships/hyperlink" Target="https://www.transfermarkt.co.uk/deportivo-la-coruna/startseite/verein/897/saison_id/2015" TargetMode="External"/><Relationship Id="rId622" Type="http://schemas.openxmlformats.org/officeDocument/2006/relationships/hyperlink" Target="https://www.transfermarkt.co.uk/test/spieltag/wettbewerb/ES1/saison_id/2015/spieltag/34" TargetMode="External"/><Relationship Id="rId621" Type="http://schemas.openxmlformats.org/officeDocument/2006/relationships/hyperlink" Target="https://www.transfermarkt.co.uk/spielbericht/index/spielbericht/2594794" TargetMode="External"/><Relationship Id="rId628" Type="http://schemas.openxmlformats.org/officeDocument/2006/relationships/hyperlink" Target="https://www.transfermarkt.co.uk/test/spieltag/wettbewerb/ES1/saison_id/2015/spieltag/36" TargetMode="External"/><Relationship Id="rId627" Type="http://schemas.openxmlformats.org/officeDocument/2006/relationships/hyperlink" Target="https://www.transfermarkt.co.uk/spielbericht/index/spielbericht/2594815" TargetMode="External"/><Relationship Id="rId626" Type="http://schemas.openxmlformats.org/officeDocument/2006/relationships/hyperlink" Target="https://www.transfermarkt.co.uk/sporting-gijon/startseite/verein/2448/saison_id/2015" TargetMode="External"/><Relationship Id="rId625" Type="http://schemas.openxmlformats.org/officeDocument/2006/relationships/hyperlink" Target="https://www.transfermarkt.co.uk/test/spieltag/wettbewerb/ES1/saison_id/2015/spieltag/35" TargetMode="External"/><Relationship Id="rId620" Type="http://schemas.openxmlformats.org/officeDocument/2006/relationships/hyperlink" Target="https://www.transfermarkt.co.uk/fc-valencia/startseite/verein/1049/saison_id/2015" TargetMode="External"/><Relationship Id="rId619" Type="http://schemas.openxmlformats.org/officeDocument/2006/relationships/hyperlink" Target="https://www.transfermarkt.co.uk/test/spieltag/wettbewerb/ES1/saison_id/2015/spieltag/33" TargetMode="External"/><Relationship Id="rId618" Type="http://schemas.openxmlformats.org/officeDocument/2006/relationships/hyperlink" Target="https://www.transfermarkt.co.uk/spielbericht/index/spielbericht/2594783" TargetMode="External"/><Relationship Id="rId613" Type="http://schemas.openxmlformats.org/officeDocument/2006/relationships/hyperlink" Target="https://www.transfermarkt.co.uk/test/spieltag/wettbewerb/ES1/saison_id/2015/spieltag/31" TargetMode="External"/><Relationship Id="rId612" Type="http://schemas.openxmlformats.org/officeDocument/2006/relationships/hyperlink" Target="https://www.transfermarkt.co.uk/spielbericht/index/spielbericht/2594762" TargetMode="External"/><Relationship Id="rId611" Type="http://schemas.openxmlformats.org/officeDocument/2006/relationships/hyperlink" Target="https://www.transfermarkt.co.uk/fc-villarreal/startseite/verein/1050/saison_id/2015" TargetMode="External"/><Relationship Id="rId610" Type="http://schemas.openxmlformats.org/officeDocument/2006/relationships/hyperlink" Target="https://www.transfermarkt.co.uk/test/spieltag/wettbewerb/ES1/saison_id/2015/spieltag/30" TargetMode="External"/><Relationship Id="rId617" Type="http://schemas.openxmlformats.org/officeDocument/2006/relationships/hyperlink" Target="https://www.transfermarkt.co.uk/real-sociedad-san-sebastian/startseite/verein/681/saison_id/2015" TargetMode="External"/><Relationship Id="rId616" Type="http://schemas.openxmlformats.org/officeDocument/2006/relationships/hyperlink" Target="https://www.transfermarkt.co.uk/test/spieltag/wettbewerb/ES1/saison_id/2015/spieltag/32" TargetMode="External"/><Relationship Id="rId615" Type="http://schemas.openxmlformats.org/officeDocument/2006/relationships/hyperlink" Target="https://www.transfermarkt.co.uk/spielbericht/index/spielbericht/2594773" TargetMode="External"/><Relationship Id="rId614" Type="http://schemas.openxmlformats.org/officeDocument/2006/relationships/hyperlink" Target="https://www.transfermarkt.co.uk/real-madrid/startseite/verein/418/saison_id/2015" TargetMode="External"/><Relationship Id="rId409" Type="http://schemas.openxmlformats.org/officeDocument/2006/relationships/hyperlink" Target="https://www.transfermarkt.com/real-sociedad-san-sebastian/startseite/verein/681/saison_id/2016" TargetMode="External"/><Relationship Id="rId404" Type="http://schemas.openxmlformats.org/officeDocument/2006/relationships/hyperlink" Target="https://www.transfermarkt.com/spielbericht/index/spielbericht/2718815" TargetMode="External"/><Relationship Id="rId646" Type="http://schemas.openxmlformats.org/officeDocument/2006/relationships/hyperlink" Target="https://www.transfermarkt.co.uk/spielbericht/index/spielbericht/2618619" TargetMode="External"/><Relationship Id="rId403" Type="http://schemas.openxmlformats.org/officeDocument/2006/relationships/hyperlink" Target="https://www.transfermarkt.com/fc-sevilla/startseite/verein/368/saison_id/2016" TargetMode="External"/><Relationship Id="rId645" Type="http://schemas.openxmlformats.org/officeDocument/2006/relationships/hyperlink" Target="https://www.transfermarkt.co.uk/as-rom/startseite/verein/12/saison_id/2015" TargetMode="External"/><Relationship Id="rId402" Type="http://schemas.openxmlformats.org/officeDocument/2006/relationships/hyperlink" Target="https://www.transfermarkt.com/test/spieltag/wettbewerb/ES1/saison_id/2016/spieltag/11" TargetMode="External"/><Relationship Id="rId644" Type="http://schemas.openxmlformats.org/officeDocument/2006/relationships/hyperlink" Target="https://www.transfermarkt.co.uk/spielbericht/index/spielbericht/2618602" TargetMode="External"/><Relationship Id="rId401" Type="http://schemas.openxmlformats.org/officeDocument/2006/relationships/hyperlink" Target="https://www.transfermarkt.com/spielbericht/index/spielbericht/2718806" TargetMode="External"/><Relationship Id="rId643" Type="http://schemas.openxmlformats.org/officeDocument/2006/relationships/hyperlink" Target="https://www.transfermarkt.co.uk/bate-borisov/startseite/verein/713/saison_id/2015" TargetMode="External"/><Relationship Id="rId408" Type="http://schemas.openxmlformats.org/officeDocument/2006/relationships/hyperlink" Target="https://www.transfermarkt.com/test/spieltag/wettbewerb/ES1/saison_id/2016/spieltag/13" TargetMode="External"/><Relationship Id="rId407" Type="http://schemas.openxmlformats.org/officeDocument/2006/relationships/hyperlink" Target="https://www.transfermarkt.com/spielbericht/index/spielbericht/2718825" TargetMode="External"/><Relationship Id="rId649" Type="http://schemas.openxmlformats.org/officeDocument/2006/relationships/hyperlink" Target="https://www.transfermarkt.co.uk/fc-arsenal/startseite/verein/11/saison_id/2015" TargetMode="External"/><Relationship Id="rId406" Type="http://schemas.openxmlformats.org/officeDocument/2006/relationships/hyperlink" Target="https://www.transfermarkt.com/fc-malaga/startseite/verein/1084/saison_id/2016" TargetMode="External"/><Relationship Id="rId648" Type="http://schemas.openxmlformats.org/officeDocument/2006/relationships/hyperlink" Target="https://www.transfermarkt.co.uk/spielbericht/index/spielbericht/2618634" TargetMode="External"/><Relationship Id="rId405" Type="http://schemas.openxmlformats.org/officeDocument/2006/relationships/hyperlink" Target="https://www.transfermarkt.com/test/spieltag/wettbewerb/ES1/saison_id/2016/spieltag/12" TargetMode="External"/><Relationship Id="rId647" Type="http://schemas.openxmlformats.org/officeDocument/2006/relationships/hyperlink" Target="https://www.transfermarkt.co.uk/bayer-04-leverkusen/startseite/verein/15/saison_id/2015" TargetMode="External"/><Relationship Id="rId400" Type="http://schemas.openxmlformats.org/officeDocument/2006/relationships/hyperlink" Target="https://www.transfermarkt.com/fc-granada/startseite/verein/16795/saison_id/2016" TargetMode="External"/><Relationship Id="rId642" Type="http://schemas.openxmlformats.org/officeDocument/2006/relationships/hyperlink" Target="https://www.transfermarkt.co.uk/spielbericht/index/spielbericht/2618578" TargetMode="External"/><Relationship Id="rId641" Type="http://schemas.openxmlformats.org/officeDocument/2006/relationships/hyperlink" Target="https://www.transfermarkt.co.uk/bate-borisov/startseite/verein/713/saison_id/2015" TargetMode="External"/><Relationship Id="rId640" Type="http://schemas.openxmlformats.org/officeDocument/2006/relationships/hyperlink" Target="https://www.transfermarkt.co.uk/spielbericht/index/spielbericht/2618556" TargetMode="External"/><Relationship Id="rId635" Type="http://schemas.openxmlformats.org/officeDocument/2006/relationships/hyperlink" Target="https://www.transfermarkt.co.uk/fc-granada/startseite/verein/16795/saison_id/2015" TargetMode="External"/><Relationship Id="rId634" Type="http://schemas.openxmlformats.org/officeDocument/2006/relationships/hyperlink" Target="https://www.transfermarkt.co.uk/test/spieltag/wettbewerb/ES1/saison_id/2015/spieltag/38" TargetMode="External"/><Relationship Id="rId633" Type="http://schemas.openxmlformats.org/officeDocument/2006/relationships/hyperlink" Target="https://www.transfermarkt.co.uk/spielbericht/index/spielbericht/2594836" TargetMode="External"/><Relationship Id="rId632" Type="http://schemas.openxmlformats.org/officeDocument/2006/relationships/hyperlink" Target="https://www.transfermarkt.co.uk/espanyol-barcelona/startseite/verein/714/saison_id/2015" TargetMode="External"/><Relationship Id="rId639" Type="http://schemas.openxmlformats.org/officeDocument/2006/relationships/hyperlink" Target="https://www.transfermarkt.co.uk/bayer-04-leverkusen/startseite/verein/15/saison_id/2015" TargetMode="External"/><Relationship Id="rId638" Type="http://schemas.openxmlformats.org/officeDocument/2006/relationships/hyperlink" Target="https://www.transfermarkt.co.uk/spielbericht/index/spielbericht/2618544" TargetMode="External"/><Relationship Id="rId637" Type="http://schemas.openxmlformats.org/officeDocument/2006/relationships/hyperlink" Target="https://www.transfermarkt.co.uk/as-rom/startseite/verein/12/saison_id/2015" TargetMode="External"/><Relationship Id="rId636" Type="http://schemas.openxmlformats.org/officeDocument/2006/relationships/hyperlink" Target="https://www.transfermarkt.co.uk/spielbericht/index/spielbericht/2594846" TargetMode="External"/><Relationship Id="rId631" Type="http://schemas.openxmlformats.org/officeDocument/2006/relationships/hyperlink" Target="https://www.transfermarkt.co.uk/test/spieltag/wettbewerb/ES1/saison_id/2015/spieltag/37" TargetMode="External"/><Relationship Id="rId630" Type="http://schemas.openxmlformats.org/officeDocument/2006/relationships/hyperlink" Target="https://www.transfermarkt.co.uk/spielbericht/index/spielbericht/2594825" TargetMode="External"/><Relationship Id="rId829" Type="http://schemas.openxmlformats.org/officeDocument/2006/relationships/hyperlink" Target="https://www.transfermarkt.co.uk/fc-villarreal/startseite/verein/1050/saison_id/2014" TargetMode="External"/><Relationship Id="rId828" Type="http://schemas.openxmlformats.org/officeDocument/2006/relationships/hyperlink" Target="https://www.transfermarkt.co.uk/spielbericht/index/spielbericht/2532386" TargetMode="External"/><Relationship Id="rId827" Type="http://schemas.openxmlformats.org/officeDocument/2006/relationships/hyperlink" Target="https://www.transfermarkt.co.uk/fc-villarreal/startseite/verein/1050/saison_id/2014" TargetMode="External"/><Relationship Id="rId822" Type="http://schemas.openxmlformats.org/officeDocument/2006/relationships/hyperlink" Target="https://www.transfermarkt.co.uk/spielbericht/index/spielbericht/2518537" TargetMode="External"/><Relationship Id="rId821" Type="http://schemas.openxmlformats.org/officeDocument/2006/relationships/hyperlink" Target="https://www.transfermarkt.co.uk/fc-elche/startseite/verein/1531/saison_id/2014" TargetMode="External"/><Relationship Id="rId820" Type="http://schemas.openxmlformats.org/officeDocument/2006/relationships/hyperlink" Target="https://www.transfermarkt.co.uk/spielbericht/index/spielbericht/2518529" TargetMode="External"/><Relationship Id="rId826" Type="http://schemas.openxmlformats.org/officeDocument/2006/relationships/hyperlink" Target="https://www.transfermarkt.co.uk/spielbericht/index/spielbericht/2528140" TargetMode="External"/><Relationship Id="rId825" Type="http://schemas.openxmlformats.org/officeDocument/2006/relationships/hyperlink" Target="https://www.transfermarkt.co.uk/atletico-madrid/startseite/verein/13/saison_id/2014" TargetMode="External"/><Relationship Id="rId824" Type="http://schemas.openxmlformats.org/officeDocument/2006/relationships/hyperlink" Target="https://www.transfermarkt.co.uk/spielbericht/index/spielbericht/2528139" TargetMode="External"/><Relationship Id="rId823" Type="http://schemas.openxmlformats.org/officeDocument/2006/relationships/hyperlink" Target="https://www.transfermarkt.co.uk/atletico-madrid/startseite/verein/13/saison_id/2014" TargetMode="External"/><Relationship Id="rId819" Type="http://schemas.openxmlformats.org/officeDocument/2006/relationships/hyperlink" Target="https://www.transfermarkt.co.uk/fc-elche/startseite/verein/1531/saison_id/2014" TargetMode="External"/><Relationship Id="rId818" Type="http://schemas.openxmlformats.org/officeDocument/2006/relationships/hyperlink" Target="https://www.transfermarkt.co.uk/spielbericht/index/spielbericht/2505205" TargetMode="External"/><Relationship Id="rId817" Type="http://schemas.openxmlformats.org/officeDocument/2006/relationships/hyperlink" Target="https://www.transfermarkt.co.uk/sd-huesca/startseite/verein/5358/saison_id/2014" TargetMode="External"/><Relationship Id="rId816" Type="http://schemas.openxmlformats.org/officeDocument/2006/relationships/hyperlink" Target="https://www.transfermarkt.co.uk/spielbericht/index/spielbericht/2505176" TargetMode="External"/><Relationship Id="rId811" Type="http://schemas.openxmlformats.org/officeDocument/2006/relationships/hyperlink" Target="https://www.transfermarkt.co.uk/fc-bayern-munchen/startseite/verein/27/saison_id/2014" TargetMode="External"/><Relationship Id="rId810" Type="http://schemas.openxmlformats.org/officeDocument/2006/relationships/hyperlink" Target="https://www.transfermarkt.co.uk/spielbericht/index/spielbericht/2560716" TargetMode="External"/><Relationship Id="rId815" Type="http://schemas.openxmlformats.org/officeDocument/2006/relationships/hyperlink" Target="https://www.transfermarkt.co.uk/sd-huesca/startseite/verein/5358/saison_id/2014" TargetMode="External"/><Relationship Id="rId814" Type="http://schemas.openxmlformats.org/officeDocument/2006/relationships/hyperlink" Target="https://www.transfermarkt.co.uk/spielbericht/index/spielbericht/2567502" TargetMode="External"/><Relationship Id="rId813" Type="http://schemas.openxmlformats.org/officeDocument/2006/relationships/hyperlink" Target="https://www.transfermarkt.co.uk/juventus-turin/startseite/verein/506/saison_id/2014" TargetMode="External"/><Relationship Id="rId812" Type="http://schemas.openxmlformats.org/officeDocument/2006/relationships/hyperlink" Target="https://www.transfermarkt.co.uk/spielbericht/index/spielbericht/2560717" TargetMode="External"/><Relationship Id="rId609" Type="http://schemas.openxmlformats.org/officeDocument/2006/relationships/hyperlink" Target="https://www.transfermarkt.co.uk/spielbericht/index/spielbericht/2594752" TargetMode="External"/><Relationship Id="rId608" Type="http://schemas.openxmlformats.org/officeDocument/2006/relationships/hyperlink" Target="https://www.transfermarkt.co.uk/fc-getafe/startseite/verein/3709/saison_id/2015" TargetMode="External"/><Relationship Id="rId607" Type="http://schemas.openxmlformats.org/officeDocument/2006/relationships/hyperlink" Target="https://www.transfermarkt.co.uk/test/spieltag/wettbewerb/ES1/saison_id/2015/spieltag/29" TargetMode="External"/><Relationship Id="rId602" Type="http://schemas.openxmlformats.org/officeDocument/2006/relationships/hyperlink" Target="https://www.transfermarkt.co.uk/rayo-vallecano/startseite/verein/367/saison_id/2015" TargetMode="External"/><Relationship Id="rId601" Type="http://schemas.openxmlformats.org/officeDocument/2006/relationships/hyperlink" Target="https://www.transfermarkt.co.uk/test/spieltag/wettbewerb/ES1/saison_id/2015/spieltag/27" TargetMode="External"/><Relationship Id="rId600" Type="http://schemas.openxmlformats.org/officeDocument/2006/relationships/hyperlink" Target="https://www.transfermarkt.co.uk/spielbericht/index/spielbericht/2594721" TargetMode="External"/><Relationship Id="rId606" Type="http://schemas.openxmlformats.org/officeDocument/2006/relationships/hyperlink" Target="https://www.transfermarkt.co.uk/spielbericht/index/spielbericht/2594741" TargetMode="External"/><Relationship Id="rId605" Type="http://schemas.openxmlformats.org/officeDocument/2006/relationships/hyperlink" Target="https://www.transfermarkt.co.uk/sd-eibar/startseite/verein/1533/saison_id/2015" TargetMode="External"/><Relationship Id="rId604" Type="http://schemas.openxmlformats.org/officeDocument/2006/relationships/hyperlink" Target="https://www.transfermarkt.co.uk/test/spieltag/wettbewerb/ES1/saison_id/2015/spieltag/28" TargetMode="External"/><Relationship Id="rId603" Type="http://schemas.openxmlformats.org/officeDocument/2006/relationships/hyperlink" Target="https://www.transfermarkt.co.uk/spielbericht/index/spielbericht/2594731" TargetMode="External"/><Relationship Id="rId833" Type="http://schemas.openxmlformats.org/officeDocument/2006/relationships/drawing" Target="../drawings/drawing1.xml"/><Relationship Id="rId832" Type="http://schemas.openxmlformats.org/officeDocument/2006/relationships/hyperlink" Target="https://www.transfermarkt.co.uk/spielbericht/index/spielbericht/2543981" TargetMode="External"/><Relationship Id="rId831" Type="http://schemas.openxmlformats.org/officeDocument/2006/relationships/hyperlink" Target="https://www.transfermarkt.co.uk/athletic-bilbao/startseite/verein/621/saison_id/2014" TargetMode="External"/><Relationship Id="rId830" Type="http://schemas.openxmlformats.org/officeDocument/2006/relationships/hyperlink" Target="https://www.transfermarkt.co.uk/spielbericht/index/spielbericht/2532388" TargetMode="External"/><Relationship Id="rId228" Type="http://schemas.openxmlformats.org/officeDocument/2006/relationships/hyperlink" Target="https://www.transfermarkt.com/spielbericht/index/spielbericht/3208716" TargetMode="External"/><Relationship Id="rId227" Type="http://schemas.openxmlformats.org/officeDocument/2006/relationships/hyperlink" Target="https://www.transfermarkt.com/spielbericht/index/spielbericht/3208703" TargetMode="External"/><Relationship Id="rId469" Type="http://schemas.openxmlformats.org/officeDocument/2006/relationships/hyperlink" Target="https://www.transfermarkt.com/spielbericht/index/spielbericht/2719034" TargetMode="External"/><Relationship Id="rId226" Type="http://schemas.openxmlformats.org/officeDocument/2006/relationships/hyperlink" Target="https://www.transfermarkt.com/spielbericht/index/spielbericht/3208697" TargetMode="External"/><Relationship Id="rId468" Type="http://schemas.openxmlformats.org/officeDocument/2006/relationships/hyperlink" Target="https://www.transfermarkt.com/real-madrid/startseite/verein/418/saison_id/2016" TargetMode="External"/><Relationship Id="rId225" Type="http://schemas.openxmlformats.org/officeDocument/2006/relationships/hyperlink" Target="https://www.transfermarkt.com/spielbericht/index/spielbericht/3208679" TargetMode="External"/><Relationship Id="rId467" Type="http://schemas.openxmlformats.org/officeDocument/2006/relationships/hyperlink" Target="https://www.transfermarkt.com/test/spieltag/wettbewerb/ES1/saison_id/2016/spieltag/33" TargetMode="External"/><Relationship Id="rId229" Type="http://schemas.openxmlformats.org/officeDocument/2006/relationships/hyperlink" Target="https://www.transfermarkt.com/spielbericht/index/spielbericht/3208724" TargetMode="External"/><Relationship Id="rId220" Type="http://schemas.openxmlformats.org/officeDocument/2006/relationships/hyperlink" Target="https://www.transfermarkt.com/spielbericht/index/spielbericht/3208627" TargetMode="External"/><Relationship Id="rId462" Type="http://schemas.openxmlformats.org/officeDocument/2006/relationships/hyperlink" Target="https://www.transfermarkt.com/fc-malaga/startseite/verein/1084/saison_id/2016" TargetMode="External"/><Relationship Id="rId461" Type="http://schemas.openxmlformats.org/officeDocument/2006/relationships/hyperlink" Target="https://www.transfermarkt.com/test/spieltag/wettbewerb/ES1/saison_id/2016/spieltag/31" TargetMode="External"/><Relationship Id="rId460" Type="http://schemas.openxmlformats.org/officeDocument/2006/relationships/hyperlink" Target="https://www.transfermarkt.com/spielbericht/index/spielbericht/2719005" TargetMode="External"/><Relationship Id="rId224" Type="http://schemas.openxmlformats.org/officeDocument/2006/relationships/hyperlink" Target="https://www.transfermarkt.com/spielbericht/index/spielbericht/3208673" TargetMode="External"/><Relationship Id="rId466" Type="http://schemas.openxmlformats.org/officeDocument/2006/relationships/hyperlink" Target="https://www.transfermarkt.com/spielbericht/index/spielbericht/2719024" TargetMode="External"/><Relationship Id="rId223" Type="http://schemas.openxmlformats.org/officeDocument/2006/relationships/hyperlink" Target="https://www.transfermarkt.com/spielbericht/index/spielbericht/3208660" TargetMode="External"/><Relationship Id="rId465" Type="http://schemas.openxmlformats.org/officeDocument/2006/relationships/hyperlink" Target="https://www.transfermarkt.com/real-sociedad-san-sebastian/startseite/verein/681/saison_id/2016" TargetMode="External"/><Relationship Id="rId222" Type="http://schemas.openxmlformats.org/officeDocument/2006/relationships/hyperlink" Target="https://www.transfermarkt.com/spielbericht/index/spielbericht/3208655" TargetMode="External"/><Relationship Id="rId464" Type="http://schemas.openxmlformats.org/officeDocument/2006/relationships/hyperlink" Target="https://www.transfermarkt.com/test/spieltag/wettbewerb/ES1/saison_id/2016/spieltag/32" TargetMode="External"/><Relationship Id="rId221" Type="http://schemas.openxmlformats.org/officeDocument/2006/relationships/hyperlink" Target="https://www.transfermarkt.com/spielbericht/index/spielbericht/3208640" TargetMode="External"/><Relationship Id="rId463" Type="http://schemas.openxmlformats.org/officeDocument/2006/relationships/hyperlink" Target="https://www.transfermarkt.com/spielbericht/index/spielbericht/2719015" TargetMode="External"/><Relationship Id="rId217" Type="http://schemas.openxmlformats.org/officeDocument/2006/relationships/hyperlink" Target="https://www.transfermarkt.com/spielbericht/index/spielbericht/3773624" TargetMode="External"/><Relationship Id="rId459" Type="http://schemas.openxmlformats.org/officeDocument/2006/relationships/hyperlink" Target="https://www.transfermarkt.com/fc-sevilla/startseite/verein/368/saison_id/2016" TargetMode="External"/><Relationship Id="rId216" Type="http://schemas.openxmlformats.org/officeDocument/2006/relationships/hyperlink" Target="https://www.transfermarkt.com/spielbericht/index/spielbericht/3773620" TargetMode="External"/><Relationship Id="rId458" Type="http://schemas.openxmlformats.org/officeDocument/2006/relationships/hyperlink" Target="https://www.transfermarkt.com/test/spieltag/wettbewerb/ES1/saison_id/2016/spieltag/30" TargetMode="External"/><Relationship Id="rId215" Type="http://schemas.openxmlformats.org/officeDocument/2006/relationships/hyperlink" Target="https://www.transfermarkt.com/spielbericht/index/spielbericht/3757970" TargetMode="External"/><Relationship Id="rId457" Type="http://schemas.openxmlformats.org/officeDocument/2006/relationships/hyperlink" Target="https://www.transfermarkt.com/spielbericht/index/spielbericht/2718996" TargetMode="External"/><Relationship Id="rId699" Type="http://schemas.openxmlformats.org/officeDocument/2006/relationships/hyperlink" Target="https://www.transfermarkt.co.uk/test/spieltag/wettbewerb/ES1/saison_id/2014/spieltag/9" TargetMode="External"/><Relationship Id="rId214" Type="http://schemas.openxmlformats.org/officeDocument/2006/relationships/hyperlink" Target="https://www.transfermarkt.com/spielbericht/index/spielbericht/3757962" TargetMode="External"/><Relationship Id="rId456" Type="http://schemas.openxmlformats.org/officeDocument/2006/relationships/hyperlink" Target="https://www.transfermarkt.com/fc-granada/startseite/verein/16795/saison_id/2016" TargetMode="External"/><Relationship Id="rId698" Type="http://schemas.openxmlformats.org/officeDocument/2006/relationships/hyperlink" Target="https://www.transfermarkt.co.uk/spielbericht/index/spielbericht/2475258" TargetMode="External"/><Relationship Id="rId219" Type="http://schemas.openxmlformats.org/officeDocument/2006/relationships/hyperlink" Target="https://www.transfermarkt.com/spielbericht/index/spielbericht/3727226" TargetMode="External"/><Relationship Id="rId218" Type="http://schemas.openxmlformats.org/officeDocument/2006/relationships/hyperlink" Target="https://www.transfermarkt.com/spielbericht/index/spielbericht/3716580" TargetMode="External"/><Relationship Id="rId451" Type="http://schemas.openxmlformats.org/officeDocument/2006/relationships/hyperlink" Target="https://www.transfermarkt.com/spielbericht/index/spielbericht/2718977" TargetMode="External"/><Relationship Id="rId693" Type="http://schemas.openxmlformats.org/officeDocument/2006/relationships/hyperlink" Target="https://www.transfermarkt.co.uk/test/spieltag/wettbewerb/ES1/saison_id/2014/spieltag/7" TargetMode="External"/><Relationship Id="rId450" Type="http://schemas.openxmlformats.org/officeDocument/2006/relationships/hyperlink" Target="https://www.transfermarkt.com/test/spieltag/wettbewerb/ES1/saison_id/2016/spieltag/27" TargetMode="External"/><Relationship Id="rId692" Type="http://schemas.openxmlformats.org/officeDocument/2006/relationships/hyperlink" Target="https://www.transfermarkt.co.uk/spielbericht/index/spielbericht/2475239" TargetMode="External"/><Relationship Id="rId691" Type="http://schemas.openxmlformats.org/officeDocument/2006/relationships/hyperlink" Target="https://www.transfermarkt.co.uk/fc-granada/startseite/verein/16795/saison_id/2014" TargetMode="External"/><Relationship Id="rId690" Type="http://schemas.openxmlformats.org/officeDocument/2006/relationships/hyperlink" Target="https://www.transfermarkt.co.uk/test/spieltag/wettbewerb/ES1/saison_id/2014/spieltag/6" TargetMode="External"/><Relationship Id="rId213" Type="http://schemas.openxmlformats.org/officeDocument/2006/relationships/hyperlink" Target="https://www.transfermarkt.com/spielbericht/index/spielbericht/3714023" TargetMode="External"/><Relationship Id="rId455" Type="http://schemas.openxmlformats.org/officeDocument/2006/relationships/hyperlink" Target="https://www.transfermarkt.com/test/spieltag/wettbewerb/ES1/saison_id/2016/spieltag/29" TargetMode="External"/><Relationship Id="rId697" Type="http://schemas.openxmlformats.org/officeDocument/2006/relationships/hyperlink" Target="https://www.transfermarkt.co.uk/sd-eibar/startseite/verein/1533/saison_id/2014" TargetMode="External"/><Relationship Id="rId212" Type="http://schemas.openxmlformats.org/officeDocument/2006/relationships/hyperlink" Target="https://www.transfermarkt.com/spielbericht/index/spielbericht/3714015" TargetMode="External"/><Relationship Id="rId454" Type="http://schemas.openxmlformats.org/officeDocument/2006/relationships/hyperlink" Target="https://www.transfermarkt.com/spielbericht/index/spielbericht/2718986" TargetMode="External"/><Relationship Id="rId696" Type="http://schemas.openxmlformats.org/officeDocument/2006/relationships/hyperlink" Target="https://www.transfermarkt.co.uk/test/spieltag/wettbewerb/ES1/saison_id/2014/spieltag/8" TargetMode="External"/><Relationship Id="rId211" Type="http://schemas.openxmlformats.org/officeDocument/2006/relationships/hyperlink" Target="https://www.transfermarkt.com/spielbericht/index/spielbericht/3651134" TargetMode="External"/><Relationship Id="rId453" Type="http://schemas.openxmlformats.org/officeDocument/2006/relationships/hyperlink" Target="https://www.transfermarkt.com/fc-valencia/startseite/verein/1049/saison_id/2016" TargetMode="External"/><Relationship Id="rId695" Type="http://schemas.openxmlformats.org/officeDocument/2006/relationships/hyperlink" Target="https://www.transfermarkt.co.uk/spielbericht/index/spielbericht/2475248" TargetMode="External"/><Relationship Id="rId210" Type="http://schemas.openxmlformats.org/officeDocument/2006/relationships/hyperlink" Target="https://www.transfermarkt.com/spielbericht/index/spielbericht/3651110" TargetMode="External"/><Relationship Id="rId452" Type="http://schemas.openxmlformats.org/officeDocument/2006/relationships/hyperlink" Target="https://www.transfermarkt.com/test/spieltag/wettbewerb/ES1/saison_id/2016/spieltag/28" TargetMode="External"/><Relationship Id="rId694" Type="http://schemas.openxmlformats.org/officeDocument/2006/relationships/hyperlink" Target="https://www.transfermarkt.co.uk/rayo-vallecano/startseite/verein/367/saison_id/2014" TargetMode="External"/><Relationship Id="rId491" Type="http://schemas.openxmlformats.org/officeDocument/2006/relationships/hyperlink" Target="https://www.transfermarkt.com/manchester-city/startseite/verein/281/saison_id/2016" TargetMode="External"/><Relationship Id="rId490" Type="http://schemas.openxmlformats.org/officeDocument/2006/relationships/hyperlink" Target="https://www.transfermarkt.com/spielbericht/index/spielbericht/2754919" TargetMode="External"/><Relationship Id="rId249" Type="http://schemas.openxmlformats.org/officeDocument/2006/relationships/hyperlink" Target="https://www.transfermarkt.com/spielbericht/index/spielbericht/3252197" TargetMode="External"/><Relationship Id="rId248" Type="http://schemas.openxmlformats.org/officeDocument/2006/relationships/hyperlink" Target="https://www.transfermarkt.com/spielbericht/index/spielbericht/3252173" TargetMode="External"/><Relationship Id="rId247" Type="http://schemas.openxmlformats.org/officeDocument/2006/relationships/hyperlink" Target="https://www.transfermarkt.com/spielbericht/index/spielbericht/3252157" TargetMode="External"/><Relationship Id="rId489" Type="http://schemas.openxmlformats.org/officeDocument/2006/relationships/hyperlink" Target="https://www.transfermarkt.com/manchester-city/startseite/verein/281/saison_id/2016" TargetMode="External"/><Relationship Id="rId242" Type="http://schemas.openxmlformats.org/officeDocument/2006/relationships/hyperlink" Target="https://www.transfermarkt.com/spielbericht/index/spielbericht/3209804" TargetMode="External"/><Relationship Id="rId484" Type="http://schemas.openxmlformats.org/officeDocument/2006/relationships/hyperlink" Target="https://www.transfermarkt.com/spielbericht/index/spielbericht/2719081" TargetMode="External"/><Relationship Id="rId241" Type="http://schemas.openxmlformats.org/officeDocument/2006/relationships/hyperlink" Target="https://www.transfermarkt.com/spielbericht/index/spielbericht/3209793" TargetMode="External"/><Relationship Id="rId483" Type="http://schemas.openxmlformats.org/officeDocument/2006/relationships/hyperlink" Target="https://www.transfermarkt.com/sd-eibar/startseite/verein/1533/saison_id/2016" TargetMode="External"/><Relationship Id="rId240" Type="http://schemas.openxmlformats.org/officeDocument/2006/relationships/hyperlink" Target="https://www.transfermarkt.com/spielbericht/index/spielbericht/3208850" TargetMode="External"/><Relationship Id="rId482" Type="http://schemas.openxmlformats.org/officeDocument/2006/relationships/hyperlink" Target="https://www.transfermarkt.com/test/spieltag/wettbewerb/ES1/saison_id/2016/spieltag/38" TargetMode="External"/><Relationship Id="rId481" Type="http://schemas.openxmlformats.org/officeDocument/2006/relationships/hyperlink" Target="https://www.transfermarkt.com/spielbericht/index/spielbericht/2719072" TargetMode="External"/><Relationship Id="rId246" Type="http://schemas.openxmlformats.org/officeDocument/2006/relationships/hyperlink" Target="https://www.transfermarkt.com/spielbericht/index/spielbericht/3209999" TargetMode="External"/><Relationship Id="rId488" Type="http://schemas.openxmlformats.org/officeDocument/2006/relationships/hyperlink" Target="https://www.transfermarkt.com/spielbericht/index/spielbericht/2754910" TargetMode="External"/><Relationship Id="rId245" Type="http://schemas.openxmlformats.org/officeDocument/2006/relationships/hyperlink" Target="https://www.transfermarkt.com/spielbericht/index/spielbericht/3209984" TargetMode="External"/><Relationship Id="rId487" Type="http://schemas.openxmlformats.org/officeDocument/2006/relationships/hyperlink" Target="https://www.transfermarkt.com/borussia-monchengladbach/startseite/verein/18/saison_id/2016" TargetMode="External"/><Relationship Id="rId244" Type="http://schemas.openxmlformats.org/officeDocument/2006/relationships/hyperlink" Target="https://www.transfermarkt.com/spielbericht/index/spielbericht/3209970" TargetMode="External"/><Relationship Id="rId486" Type="http://schemas.openxmlformats.org/officeDocument/2006/relationships/hyperlink" Target="https://www.transfermarkt.com/spielbericht/index/spielbericht/2754181" TargetMode="External"/><Relationship Id="rId243" Type="http://schemas.openxmlformats.org/officeDocument/2006/relationships/hyperlink" Target="https://www.transfermarkt.com/spielbericht/index/spielbericht/3209959" TargetMode="External"/><Relationship Id="rId485" Type="http://schemas.openxmlformats.org/officeDocument/2006/relationships/hyperlink" Target="https://www.transfermarkt.com/celtic-glasgow/startseite/verein/371/saison_id/2016" TargetMode="External"/><Relationship Id="rId480" Type="http://schemas.openxmlformats.org/officeDocument/2006/relationships/hyperlink" Target="https://www.transfermarkt.com/ud-las-palmas/startseite/verein/472/saison_id/2016" TargetMode="External"/><Relationship Id="rId239" Type="http://schemas.openxmlformats.org/officeDocument/2006/relationships/hyperlink" Target="https://www.transfermarkt.com/spielbericht/index/spielbericht/3208833" TargetMode="External"/><Relationship Id="rId238" Type="http://schemas.openxmlformats.org/officeDocument/2006/relationships/hyperlink" Target="https://www.transfermarkt.com/spielbericht/index/spielbericht/3208825" TargetMode="External"/><Relationship Id="rId237" Type="http://schemas.openxmlformats.org/officeDocument/2006/relationships/hyperlink" Target="https://www.transfermarkt.com/spielbericht/index/spielbericht/3208812" TargetMode="External"/><Relationship Id="rId479" Type="http://schemas.openxmlformats.org/officeDocument/2006/relationships/hyperlink" Target="https://www.transfermarkt.com/test/spieltag/wettbewerb/ES1/saison_id/2016/spieltag/37" TargetMode="External"/><Relationship Id="rId236" Type="http://schemas.openxmlformats.org/officeDocument/2006/relationships/hyperlink" Target="https://www.transfermarkt.com/spielbericht/index/spielbericht/3208809" TargetMode="External"/><Relationship Id="rId478" Type="http://schemas.openxmlformats.org/officeDocument/2006/relationships/hyperlink" Target="https://www.transfermarkt.com/spielbericht/index/spielbericht/2719062" TargetMode="External"/><Relationship Id="rId231" Type="http://schemas.openxmlformats.org/officeDocument/2006/relationships/hyperlink" Target="https://www.transfermarkt.com/spielbericht/index/spielbericht/3208756" TargetMode="External"/><Relationship Id="rId473" Type="http://schemas.openxmlformats.org/officeDocument/2006/relationships/hyperlink" Target="https://www.transfermarkt.com/test/spieltag/wettbewerb/ES1/saison_id/2016/spieltag/35" TargetMode="External"/><Relationship Id="rId230" Type="http://schemas.openxmlformats.org/officeDocument/2006/relationships/hyperlink" Target="https://www.transfermarkt.com/spielbericht/index/spielbericht/3208744" TargetMode="External"/><Relationship Id="rId472" Type="http://schemas.openxmlformats.org/officeDocument/2006/relationships/hyperlink" Target="https://www.transfermarkt.com/spielbericht/index/spielbericht/2719043" TargetMode="External"/><Relationship Id="rId471" Type="http://schemas.openxmlformats.org/officeDocument/2006/relationships/hyperlink" Target="https://www.transfermarkt.com/ca-osasuna/startseite/verein/331/saison_id/2016" TargetMode="External"/><Relationship Id="rId470" Type="http://schemas.openxmlformats.org/officeDocument/2006/relationships/hyperlink" Target="https://www.transfermarkt.com/test/spieltag/wettbewerb/ES1/saison_id/2016/spieltag/34" TargetMode="External"/><Relationship Id="rId235" Type="http://schemas.openxmlformats.org/officeDocument/2006/relationships/hyperlink" Target="https://www.transfermarkt.com/spielbericht/index/spielbericht/3208792" TargetMode="External"/><Relationship Id="rId477" Type="http://schemas.openxmlformats.org/officeDocument/2006/relationships/hyperlink" Target="https://www.transfermarkt.com/fc-villarreal/startseite/verein/1050/saison_id/2016" TargetMode="External"/><Relationship Id="rId234" Type="http://schemas.openxmlformats.org/officeDocument/2006/relationships/hyperlink" Target="https://www.transfermarkt.com/spielbericht/index/spielbericht/3208784" TargetMode="External"/><Relationship Id="rId476" Type="http://schemas.openxmlformats.org/officeDocument/2006/relationships/hyperlink" Target="https://www.transfermarkt.com/test/spieltag/wettbewerb/ES1/saison_id/2016/spieltag/36" TargetMode="External"/><Relationship Id="rId233" Type="http://schemas.openxmlformats.org/officeDocument/2006/relationships/hyperlink" Target="https://www.transfermarkt.com/spielbericht/index/spielbericht/3208776" TargetMode="External"/><Relationship Id="rId475" Type="http://schemas.openxmlformats.org/officeDocument/2006/relationships/hyperlink" Target="https://www.transfermarkt.com/spielbericht/index/spielbericht/2719053" TargetMode="External"/><Relationship Id="rId232" Type="http://schemas.openxmlformats.org/officeDocument/2006/relationships/hyperlink" Target="https://www.transfermarkt.com/spielbericht/index/spielbericht/3208765" TargetMode="External"/><Relationship Id="rId474" Type="http://schemas.openxmlformats.org/officeDocument/2006/relationships/hyperlink" Target="https://www.transfermarkt.com/espanyol-barcelona/startseite/verein/714/saison_id/2016" TargetMode="External"/><Relationship Id="rId426" Type="http://schemas.openxmlformats.org/officeDocument/2006/relationships/hyperlink" Target="https://www.transfermarkt.com/test/spieltag/wettbewerb/ES1/saison_id/2016/spieltag/19" TargetMode="External"/><Relationship Id="rId668" Type="http://schemas.openxmlformats.org/officeDocument/2006/relationships/hyperlink" Target="https://www.transfermarkt.co.uk/spielbericht/index/spielbericht/2656747" TargetMode="External"/><Relationship Id="rId425" Type="http://schemas.openxmlformats.org/officeDocument/2006/relationships/hyperlink" Target="https://www.transfermarkt.com/spielbericht/index/spielbericht/2718882" TargetMode="External"/><Relationship Id="rId667" Type="http://schemas.openxmlformats.org/officeDocument/2006/relationships/hyperlink" Target="https://www.transfermarkt.co.uk/athletic-bilbao/startseite/verein/621/saison_id/2015" TargetMode="External"/><Relationship Id="rId424" Type="http://schemas.openxmlformats.org/officeDocument/2006/relationships/hyperlink" Target="https://www.transfermarkt.com/ud-las-palmas/startseite/verein/472/saison_id/2016" TargetMode="External"/><Relationship Id="rId666" Type="http://schemas.openxmlformats.org/officeDocument/2006/relationships/hyperlink" Target="https://www.transfermarkt.co.uk/spielbericht/index/spielbericht/2656743" TargetMode="External"/><Relationship Id="rId423" Type="http://schemas.openxmlformats.org/officeDocument/2006/relationships/hyperlink" Target="https://www.transfermarkt.com/test/spieltag/wettbewerb/ES1/saison_id/2016/spieltag/18" TargetMode="External"/><Relationship Id="rId665" Type="http://schemas.openxmlformats.org/officeDocument/2006/relationships/hyperlink" Target="https://www.transfermarkt.co.uk/athletic-bilbao/startseite/verein/621/saison_id/2015" TargetMode="External"/><Relationship Id="rId429" Type="http://schemas.openxmlformats.org/officeDocument/2006/relationships/hyperlink" Target="https://www.transfermarkt.com/test/spieltag/wettbewerb/ES1/saison_id/2016/spieltag/20" TargetMode="External"/><Relationship Id="rId428" Type="http://schemas.openxmlformats.org/officeDocument/2006/relationships/hyperlink" Target="https://www.transfermarkt.com/spielbericht/index/spielbericht/2718891" TargetMode="External"/><Relationship Id="rId427" Type="http://schemas.openxmlformats.org/officeDocument/2006/relationships/hyperlink" Target="https://www.transfermarkt.com/sd-eibar/startseite/verein/1533/saison_id/2016" TargetMode="External"/><Relationship Id="rId669" Type="http://schemas.openxmlformats.org/officeDocument/2006/relationships/hyperlink" Target="https://www.transfermarkt.co.uk/fc-valencia/startseite/verein/1049/saison_id/2015" TargetMode="External"/><Relationship Id="rId660" Type="http://schemas.openxmlformats.org/officeDocument/2006/relationships/hyperlink" Target="https://www.transfermarkt.co.uk/spielbericht/index/spielbericht/2633840" TargetMode="External"/><Relationship Id="rId422" Type="http://schemas.openxmlformats.org/officeDocument/2006/relationships/hyperlink" Target="https://www.transfermarkt.com/spielbericht/index/spielbericht/2718872" TargetMode="External"/><Relationship Id="rId664" Type="http://schemas.openxmlformats.org/officeDocument/2006/relationships/hyperlink" Target="https://www.transfermarkt.co.uk/spielbericht/index/spielbericht/2647663" TargetMode="External"/><Relationship Id="rId421" Type="http://schemas.openxmlformats.org/officeDocument/2006/relationships/hyperlink" Target="https://www.transfermarkt.com/fc-villarreal/startseite/verein/1050/saison_id/2016" TargetMode="External"/><Relationship Id="rId663" Type="http://schemas.openxmlformats.org/officeDocument/2006/relationships/hyperlink" Target="https://www.transfermarkt.co.uk/espanyol-barcelona/startseite/verein/714/saison_id/2015" TargetMode="External"/><Relationship Id="rId420" Type="http://schemas.openxmlformats.org/officeDocument/2006/relationships/hyperlink" Target="https://www.transfermarkt.com/test/spieltag/wettbewerb/ES1/saison_id/2016/spieltag/17" TargetMode="External"/><Relationship Id="rId662" Type="http://schemas.openxmlformats.org/officeDocument/2006/relationships/hyperlink" Target="https://www.transfermarkt.co.uk/spielbericht/index/spielbericht/2647652" TargetMode="External"/><Relationship Id="rId661" Type="http://schemas.openxmlformats.org/officeDocument/2006/relationships/hyperlink" Target="https://www.transfermarkt.co.uk/espanyol-barcelona/startseite/verein/714/saison_id/2015" TargetMode="External"/><Relationship Id="rId415" Type="http://schemas.openxmlformats.org/officeDocument/2006/relationships/hyperlink" Target="https://www.transfermarkt.com/ca-osasuna/startseite/verein/331/saison_id/2016" TargetMode="External"/><Relationship Id="rId657" Type="http://schemas.openxmlformats.org/officeDocument/2006/relationships/hyperlink" Target="https://www.transfermarkt.co.uk/fc-villanovense/startseite/verein/7052/saison_id/2015" TargetMode="External"/><Relationship Id="rId414" Type="http://schemas.openxmlformats.org/officeDocument/2006/relationships/hyperlink" Target="https://www.transfermarkt.com/test/spieltag/wettbewerb/ES1/saison_id/2016/spieltag/15" TargetMode="External"/><Relationship Id="rId656" Type="http://schemas.openxmlformats.org/officeDocument/2006/relationships/hyperlink" Target="https://www.transfermarkt.co.uk/spielbericht/index/spielbericht/2675299" TargetMode="External"/><Relationship Id="rId413" Type="http://schemas.openxmlformats.org/officeDocument/2006/relationships/hyperlink" Target="https://www.transfermarkt.com/spielbericht/index/spielbericht/2718844" TargetMode="External"/><Relationship Id="rId655" Type="http://schemas.openxmlformats.org/officeDocument/2006/relationships/hyperlink" Target="https://www.transfermarkt.co.uk/atletico-madrid/startseite/verein/13/saison_id/2015" TargetMode="External"/><Relationship Id="rId412" Type="http://schemas.openxmlformats.org/officeDocument/2006/relationships/hyperlink" Target="https://www.transfermarkt.com/real-madrid/startseite/verein/418/saison_id/2016" TargetMode="External"/><Relationship Id="rId654" Type="http://schemas.openxmlformats.org/officeDocument/2006/relationships/hyperlink" Target="https://www.transfermarkt.co.uk/spielbericht/index/spielbericht/2675295" TargetMode="External"/><Relationship Id="rId419" Type="http://schemas.openxmlformats.org/officeDocument/2006/relationships/hyperlink" Target="https://www.transfermarkt.com/spielbericht/index/spielbericht/2718863" TargetMode="External"/><Relationship Id="rId418" Type="http://schemas.openxmlformats.org/officeDocument/2006/relationships/hyperlink" Target="https://www.transfermarkt.com/espanyol-barcelona/startseite/verein/714/saison_id/2016" TargetMode="External"/><Relationship Id="rId417" Type="http://schemas.openxmlformats.org/officeDocument/2006/relationships/hyperlink" Target="https://www.transfermarkt.com/test/spieltag/wettbewerb/ES1/saison_id/2016/spieltag/16" TargetMode="External"/><Relationship Id="rId659" Type="http://schemas.openxmlformats.org/officeDocument/2006/relationships/hyperlink" Target="https://www.transfermarkt.co.uk/fc-villanovense/startseite/verein/7052/saison_id/2015" TargetMode="External"/><Relationship Id="rId416" Type="http://schemas.openxmlformats.org/officeDocument/2006/relationships/hyperlink" Target="https://www.transfermarkt.com/spielbericht/index/spielbericht/2718853" TargetMode="External"/><Relationship Id="rId658" Type="http://schemas.openxmlformats.org/officeDocument/2006/relationships/hyperlink" Target="https://www.transfermarkt.co.uk/spielbericht/index/spielbericht/2633809" TargetMode="External"/><Relationship Id="rId411" Type="http://schemas.openxmlformats.org/officeDocument/2006/relationships/hyperlink" Target="https://www.transfermarkt.com/test/spieltag/wettbewerb/ES1/saison_id/2016/spieltag/14" TargetMode="External"/><Relationship Id="rId653" Type="http://schemas.openxmlformats.org/officeDocument/2006/relationships/hyperlink" Target="https://www.transfermarkt.co.uk/atletico-madrid/startseite/verein/13/saison_id/2015" TargetMode="External"/><Relationship Id="rId410" Type="http://schemas.openxmlformats.org/officeDocument/2006/relationships/hyperlink" Target="https://www.transfermarkt.com/spielbericht/index/spielbericht/2718834" TargetMode="External"/><Relationship Id="rId652" Type="http://schemas.openxmlformats.org/officeDocument/2006/relationships/hyperlink" Target="https://www.transfermarkt.co.uk/spielbericht/index/spielbericht/2645817" TargetMode="External"/><Relationship Id="rId651" Type="http://schemas.openxmlformats.org/officeDocument/2006/relationships/hyperlink" Target="https://www.transfermarkt.co.uk/fc-arsenal/startseite/verein/11/saison_id/2015" TargetMode="External"/><Relationship Id="rId650" Type="http://schemas.openxmlformats.org/officeDocument/2006/relationships/hyperlink" Target="https://www.transfermarkt.co.uk/spielbericht/index/spielbericht/2645809" TargetMode="External"/><Relationship Id="rId206" Type="http://schemas.openxmlformats.org/officeDocument/2006/relationships/hyperlink" Target="https://www.transfermarkt.com/spielbericht/index/spielbericht/3651142" TargetMode="External"/><Relationship Id="rId448" Type="http://schemas.openxmlformats.org/officeDocument/2006/relationships/hyperlink" Target="https://www.transfermarkt.com/celta-vigo/startseite/verein/940/saison_id/2016" TargetMode="External"/><Relationship Id="rId205" Type="http://schemas.openxmlformats.org/officeDocument/2006/relationships/hyperlink" Target="https://www.transfermarkt.com/spielbericht/index/spielbericht/3611510" TargetMode="External"/><Relationship Id="rId447" Type="http://schemas.openxmlformats.org/officeDocument/2006/relationships/hyperlink" Target="https://www.transfermarkt.com/test/spieltag/wettbewerb/ES1/saison_id/2016/spieltag/26" TargetMode="External"/><Relationship Id="rId689" Type="http://schemas.openxmlformats.org/officeDocument/2006/relationships/hyperlink" Target="https://www.transfermarkt.co.uk/spielbericht/index/spielbericht/2475229" TargetMode="External"/><Relationship Id="rId204" Type="http://schemas.openxmlformats.org/officeDocument/2006/relationships/hyperlink" Target="https://www.transfermarkt.com/spielbericht/index/spielbericht/3611504" TargetMode="External"/><Relationship Id="rId446" Type="http://schemas.openxmlformats.org/officeDocument/2006/relationships/hyperlink" Target="https://www.transfermarkt.com/spielbericht/index/spielbericht/2718957" TargetMode="External"/><Relationship Id="rId688" Type="http://schemas.openxmlformats.org/officeDocument/2006/relationships/hyperlink" Target="https://www.transfermarkt.co.uk/fc-malaga/startseite/verein/1084/saison_id/2014" TargetMode="External"/><Relationship Id="rId203" Type="http://schemas.openxmlformats.org/officeDocument/2006/relationships/hyperlink" Target="https://www.transfermarkt.com/spielbericht/index/spielbericht/3611490" TargetMode="External"/><Relationship Id="rId445" Type="http://schemas.openxmlformats.org/officeDocument/2006/relationships/hyperlink" Target="https://www.transfermarkt.com/sporting-gijon/startseite/verein/2448/saison_id/2016" TargetMode="External"/><Relationship Id="rId687" Type="http://schemas.openxmlformats.org/officeDocument/2006/relationships/hyperlink" Target="https://www.transfermarkt.co.uk/test/spieltag/wettbewerb/ES1/saison_id/2014/spieltag/5" TargetMode="External"/><Relationship Id="rId209" Type="http://schemas.openxmlformats.org/officeDocument/2006/relationships/hyperlink" Target="https://www.transfermarkt.com/spielbericht/index/spielbericht/3651093" TargetMode="External"/><Relationship Id="rId208" Type="http://schemas.openxmlformats.org/officeDocument/2006/relationships/hyperlink" Target="https://www.transfermarkt.com/spielbericht/index/spielbericht/3651085" TargetMode="External"/><Relationship Id="rId207" Type="http://schemas.openxmlformats.org/officeDocument/2006/relationships/hyperlink" Target="https://www.transfermarkt.com/spielbericht/index/spielbericht/3651070" TargetMode="External"/><Relationship Id="rId449" Type="http://schemas.openxmlformats.org/officeDocument/2006/relationships/hyperlink" Target="https://www.transfermarkt.com/spielbericht/index/spielbericht/2718967" TargetMode="External"/><Relationship Id="rId440" Type="http://schemas.openxmlformats.org/officeDocument/2006/relationships/hyperlink" Target="https://www.transfermarkt.com/spielbericht/index/spielbericht/2718936" TargetMode="External"/><Relationship Id="rId682" Type="http://schemas.openxmlformats.org/officeDocument/2006/relationships/hyperlink" Target="https://www.transfermarkt.co.uk/athletic-bilbao/startseite/verein/621/saison_id/2014" TargetMode="External"/><Relationship Id="rId681" Type="http://schemas.openxmlformats.org/officeDocument/2006/relationships/hyperlink" Target="https://www.transfermarkt.co.uk/test/spieltag/wettbewerb/ES1/saison_id/2014/spieltag/3" TargetMode="External"/><Relationship Id="rId680" Type="http://schemas.openxmlformats.org/officeDocument/2006/relationships/hyperlink" Target="https://www.transfermarkt.co.uk/spielbericht/index/spielbericht/2475198" TargetMode="External"/><Relationship Id="rId202" Type="http://schemas.openxmlformats.org/officeDocument/2006/relationships/hyperlink" Target="https://www.transfermarkt.com/spielbericht/index/spielbericht/3611481" TargetMode="External"/><Relationship Id="rId444" Type="http://schemas.openxmlformats.org/officeDocument/2006/relationships/hyperlink" Target="https://www.transfermarkt.com/test/spieltag/wettbewerb/ES1/saison_id/2016/spieltag/25" TargetMode="External"/><Relationship Id="rId686" Type="http://schemas.openxmlformats.org/officeDocument/2006/relationships/hyperlink" Target="https://www.transfermarkt.co.uk/spielbericht/index/spielbericht/2475219" TargetMode="External"/><Relationship Id="rId201" Type="http://schemas.openxmlformats.org/officeDocument/2006/relationships/hyperlink" Target="https://www.transfermarkt.com/spielbericht/index/spielbericht/3611471" TargetMode="External"/><Relationship Id="rId443" Type="http://schemas.openxmlformats.org/officeDocument/2006/relationships/hyperlink" Target="https://www.transfermarkt.com/spielbericht/index/spielbericht/2718946" TargetMode="External"/><Relationship Id="rId685" Type="http://schemas.openxmlformats.org/officeDocument/2006/relationships/hyperlink" Target="https://www.transfermarkt.co.uk/ud-levante/startseite/verein/3368/saison_id/2014" TargetMode="External"/><Relationship Id="rId200" Type="http://schemas.openxmlformats.org/officeDocument/2006/relationships/hyperlink" Target="https://www.transfermarkt.com/spielbericht/index/spielbericht/3611467" TargetMode="External"/><Relationship Id="rId442" Type="http://schemas.openxmlformats.org/officeDocument/2006/relationships/hyperlink" Target="https://www.transfermarkt.com/atletico-madrid/startseite/verein/13/saison_id/2016" TargetMode="External"/><Relationship Id="rId684" Type="http://schemas.openxmlformats.org/officeDocument/2006/relationships/hyperlink" Target="https://www.transfermarkt.co.uk/test/spieltag/wettbewerb/ES1/saison_id/2014/spieltag/4" TargetMode="External"/><Relationship Id="rId441" Type="http://schemas.openxmlformats.org/officeDocument/2006/relationships/hyperlink" Target="https://www.transfermarkt.com/test/spieltag/wettbewerb/ES1/saison_id/2016/spieltag/24" TargetMode="External"/><Relationship Id="rId683" Type="http://schemas.openxmlformats.org/officeDocument/2006/relationships/hyperlink" Target="https://www.transfermarkt.co.uk/spielbericht/index/spielbericht/2475208" TargetMode="External"/><Relationship Id="rId437" Type="http://schemas.openxmlformats.org/officeDocument/2006/relationships/hyperlink" Target="https://www.transfermarkt.com/spielbericht/index/spielbericht/2718925" TargetMode="External"/><Relationship Id="rId679" Type="http://schemas.openxmlformats.org/officeDocument/2006/relationships/hyperlink" Target="https://www.transfermarkt.co.uk/fc-villarreal/startseite/verein/1050/saison_id/2014" TargetMode="External"/><Relationship Id="rId436" Type="http://schemas.openxmlformats.org/officeDocument/2006/relationships/hyperlink" Target="https://www.transfermarkt.com/deportivo-alaves/startseite/verein/1108/saison_id/2016" TargetMode="External"/><Relationship Id="rId678" Type="http://schemas.openxmlformats.org/officeDocument/2006/relationships/hyperlink" Target="https://www.transfermarkt.co.uk/test/spieltag/wettbewerb/ES1/saison_id/2014/spieltag/2" TargetMode="External"/><Relationship Id="rId435" Type="http://schemas.openxmlformats.org/officeDocument/2006/relationships/hyperlink" Target="https://www.transfermarkt.com/test/spieltag/wettbewerb/ES1/saison_id/2016/spieltag/22" TargetMode="External"/><Relationship Id="rId677" Type="http://schemas.openxmlformats.org/officeDocument/2006/relationships/hyperlink" Target="https://www.transfermarkt.co.uk/spielbericht/index/spielbericht/2475184" TargetMode="External"/><Relationship Id="rId434" Type="http://schemas.openxmlformats.org/officeDocument/2006/relationships/hyperlink" Target="https://www.transfermarkt.com/spielbericht/index/spielbericht/2718915" TargetMode="External"/><Relationship Id="rId676" Type="http://schemas.openxmlformats.org/officeDocument/2006/relationships/hyperlink" Target="https://www.transfermarkt.co.uk/fc-elche/startseite/verein/1531/saison_id/2014" TargetMode="External"/><Relationship Id="rId439" Type="http://schemas.openxmlformats.org/officeDocument/2006/relationships/hyperlink" Target="https://www.transfermarkt.com/cd-leganes/startseite/verein/1244/saison_id/2016" TargetMode="External"/><Relationship Id="rId438" Type="http://schemas.openxmlformats.org/officeDocument/2006/relationships/hyperlink" Target="https://www.transfermarkt.com/test/spieltag/wettbewerb/ES1/saison_id/2016/spieltag/23" TargetMode="External"/><Relationship Id="rId671" Type="http://schemas.openxmlformats.org/officeDocument/2006/relationships/hyperlink" Target="https://www.transfermarkt.co.uk/fc-valencia/startseite/verein/1049/saison_id/2015" TargetMode="External"/><Relationship Id="rId670" Type="http://schemas.openxmlformats.org/officeDocument/2006/relationships/hyperlink" Target="https://www.transfermarkt.co.uk/spielbericht/index/spielbericht/2658836" TargetMode="External"/><Relationship Id="rId433" Type="http://schemas.openxmlformats.org/officeDocument/2006/relationships/hyperlink" Target="https://www.transfermarkt.com/athletic-bilbao/startseite/verein/621/saison_id/2016" TargetMode="External"/><Relationship Id="rId675" Type="http://schemas.openxmlformats.org/officeDocument/2006/relationships/hyperlink" Target="https://www.transfermarkt.co.uk/test/spieltag/wettbewerb/ES1/saison_id/2014/spieltag/1" TargetMode="External"/><Relationship Id="rId432" Type="http://schemas.openxmlformats.org/officeDocument/2006/relationships/hyperlink" Target="https://www.transfermarkt.com/test/spieltag/wettbewerb/ES1/saison_id/2016/spieltag/21" TargetMode="External"/><Relationship Id="rId674" Type="http://schemas.openxmlformats.org/officeDocument/2006/relationships/hyperlink" Target="https://www.transfermarkt.co.uk/spielbericht/index/spielbericht/2666000" TargetMode="External"/><Relationship Id="rId431" Type="http://schemas.openxmlformats.org/officeDocument/2006/relationships/hyperlink" Target="https://www.transfermarkt.com/spielbericht/index/spielbericht/2718901" TargetMode="External"/><Relationship Id="rId673" Type="http://schemas.openxmlformats.org/officeDocument/2006/relationships/hyperlink" Target="https://www.transfermarkt.co.uk/fc-sevilla/startseite/verein/368/saison_id/2015" TargetMode="External"/><Relationship Id="rId430" Type="http://schemas.openxmlformats.org/officeDocument/2006/relationships/hyperlink" Target="https://www.transfermarkt.com/real-betis-sevilla/startseite/verein/150/saison_id/2016" TargetMode="External"/><Relationship Id="rId672" Type="http://schemas.openxmlformats.org/officeDocument/2006/relationships/hyperlink" Target="https://www.transfermarkt.co.uk/spielbericht/index/spielbericht/2658838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transfermarkt.com/spielbericht/index/spielbericht/3886549" TargetMode="External"/><Relationship Id="rId194" Type="http://schemas.openxmlformats.org/officeDocument/2006/relationships/hyperlink" Target="https://www.transfermarkt.com/spielbericht/index/spielbericht/3080762" TargetMode="External"/><Relationship Id="rId193" Type="http://schemas.openxmlformats.org/officeDocument/2006/relationships/hyperlink" Target="https://www.transfermarkt.com/spielbericht/index/spielbericht/4112907" TargetMode="External"/><Relationship Id="rId192" Type="http://schemas.openxmlformats.org/officeDocument/2006/relationships/hyperlink" Target="https://www.transfermarkt.com/spielbericht/index/spielbericht/3081128" TargetMode="External"/><Relationship Id="rId191" Type="http://schemas.openxmlformats.org/officeDocument/2006/relationships/hyperlink" Target="https://www.transfermarkt.com/spielbericht/index/spielbericht/3886591" TargetMode="External"/><Relationship Id="rId187" Type="http://schemas.openxmlformats.org/officeDocument/2006/relationships/hyperlink" Target="https://www.transfermarkt.com/spielbericht/index/spielbericht/2899826" TargetMode="External"/><Relationship Id="rId186" Type="http://schemas.openxmlformats.org/officeDocument/2006/relationships/hyperlink" Target="https://www.transfermarkt.com/spielbericht/index/spielbericht/2899707" TargetMode="External"/><Relationship Id="rId185" Type="http://schemas.openxmlformats.org/officeDocument/2006/relationships/hyperlink" Target="https://www.transfermarkt.com/spielbericht/index/spielbericht/3605305" TargetMode="External"/><Relationship Id="rId184" Type="http://schemas.openxmlformats.org/officeDocument/2006/relationships/hyperlink" Target="https://www.transfermarkt.com/spielbericht/index/spielbericht/4112985" TargetMode="External"/><Relationship Id="rId189" Type="http://schemas.openxmlformats.org/officeDocument/2006/relationships/hyperlink" Target="https://www.transfermarkt.com/spielbericht/index/spielbericht/3208833" TargetMode="External"/><Relationship Id="rId188" Type="http://schemas.openxmlformats.org/officeDocument/2006/relationships/hyperlink" Target="https://www.transfermarkt.com/spielbericht/index/spielbericht/4407585" TargetMode="External"/><Relationship Id="rId183" Type="http://schemas.openxmlformats.org/officeDocument/2006/relationships/hyperlink" Target="https://www.transfermarkt.com/spielbericht/index/spielbericht/3080846" TargetMode="External"/><Relationship Id="rId182" Type="http://schemas.openxmlformats.org/officeDocument/2006/relationships/hyperlink" Target="https://www.transfermarkt.com/spielbericht/index/spielbericht/3079501" TargetMode="External"/><Relationship Id="rId181" Type="http://schemas.openxmlformats.org/officeDocument/2006/relationships/hyperlink" Target="https://www.transfermarkt.com/spielbericht/index/spielbericht/3886323" TargetMode="External"/><Relationship Id="rId180" Type="http://schemas.openxmlformats.org/officeDocument/2006/relationships/hyperlink" Target="https://www.transfermarkt.com/spielbericht/index/spielbericht/3886625" TargetMode="External"/><Relationship Id="rId176" Type="http://schemas.openxmlformats.org/officeDocument/2006/relationships/hyperlink" Target="https://www.transfermarkt.com/spielbericht/index/spielbericht/3605039" TargetMode="External"/><Relationship Id="rId175" Type="http://schemas.openxmlformats.org/officeDocument/2006/relationships/hyperlink" Target="https://www.transfermarkt.com/spielbericht/index/spielbericht/3611504" TargetMode="External"/><Relationship Id="rId174" Type="http://schemas.openxmlformats.org/officeDocument/2006/relationships/hyperlink" Target="https://www.transfermarkt.com/spielbericht/index/spielbericht/4645567" TargetMode="External"/><Relationship Id="rId173" Type="http://schemas.openxmlformats.org/officeDocument/2006/relationships/hyperlink" Target="https://www.transfermarkt.com/spielbericht/index/spielbericht/3886674" TargetMode="External"/><Relationship Id="rId179" Type="http://schemas.openxmlformats.org/officeDocument/2006/relationships/hyperlink" Target="https://www.transfermarkt.com/spielbericht/index/spielbericht/4407524" TargetMode="External"/><Relationship Id="rId178" Type="http://schemas.openxmlformats.org/officeDocument/2006/relationships/hyperlink" Target="https://www.transfermarkt.com/spielbericht/index/spielbericht/4407705" TargetMode="External"/><Relationship Id="rId177" Type="http://schemas.openxmlformats.org/officeDocument/2006/relationships/hyperlink" Target="https://www.transfermarkt.com/spielbericht/index/spielbericht/4405324" TargetMode="External"/><Relationship Id="rId198" Type="http://schemas.openxmlformats.org/officeDocument/2006/relationships/hyperlink" Target="https://www.transfermarkt.com/spielbericht/index/spielbericht/2899566" TargetMode="External"/><Relationship Id="rId197" Type="http://schemas.openxmlformats.org/officeDocument/2006/relationships/hyperlink" Target="https://www.transfermarkt.com/spielbericht/index/spielbericht/2899920" TargetMode="External"/><Relationship Id="rId196" Type="http://schemas.openxmlformats.org/officeDocument/2006/relationships/hyperlink" Target="https://www.transfermarkt.com/spielbericht/index/spielbericht/3610564" TargetMode="External"/><Relationship Id="rId195" Type="http://schemas.openxmlformats.org/officeDocument/2006/relationships/hyperlink" Target="https://www.transfermarkt.com/spielbericht/index/spielbericht/3610368" TargetMode="External"/><Relationship Id="rId199" Type="http://schemas.openxmlformats.org/officeDocument/2006/relationships/hyperlink" Target="https://www.transfermarkt.com/spielbericht/index/spielbericht/4113131" TargetMode="External"/><Relationship Id="rId150" Type="http://schemas.openxmlformats.org/officeDocument/2006/relationships/hyperlink" Target="https://www.transfermarkt.com/spielbericht/index/spielbericht/3209804" TargetMode="External"/><Relationship Id="rId1" Type="http://schemas.openxmlformats.org/officeDocument/2006/relationships/hyperlink" Target="https://www.transfermarkt.com/spielbericht/index/spielbericht/4112996" TargetMode="External"/><Relationship Id="rId2" Type="http://schemas.openxmlformats.org/officeDocument/2006/relationships/hyperlink" Target="https://www.transfermarkt.com/spielbericht/index/spielbericht/3208627" TargetMode="External"/><Relationship Id="rId3" Type="http://schemas.openxmlformats.org/officeDocument/2006/relationships/hyperlink" Target="https://www.transfermarkt.com/spielbericht/index/spielbericht/4112970" TargetMode="External"/><Relationship Id="rId149" Type="http://schemas.openxmlformats.org/officeDocument/2006/relationships/hyperlink" Target="https://www.transfermarkt.com/spielbericht/index/spielbericht/4113061" TargetMode="External"/><Relationship Id="rId4" Type="http://schemas.openxmlformats.org/officeDocument/2006/relationships/hyperlink" Target="https://www.transfermarkt.com/spielbericht/index/spielbericht/3886610" TargetMode="External"/><Relationship Id="rId148" Type="http://schemas.openxmlformats.org/officeDocument/2006/relationships/hyperlink" Target="https://www.transfermarkt.com/spielbericht/index/spielbericht/3886481" TargetMode="External"/><Relationship Id="rId9" Type="http://schemas.openxmlformats.org/officeDocument/2006/relationships/hyperlink" Target="https://www.transfermarkt.com/spielbericht/index/spielbericht/4112936" TargetMode="External"/><Relationship Id="rId143" Type="http://schemas.openxmlformats.org/officeDocument/2006/relationships/hyperlink" Target="https://www.transfermarkt.com/spielbericht/index/spielbericht/3208703" TargetMode="External"/><Relationship Id="rId142" Type="http://schemas.openxmlformats.org/officeDocument/2006/relationships/hyperlink" Target="https://www.transfermarkt.com/spielbericht/index/spielbericht/2899869" TargetMode="External"/><Relationship Id="rId141" Type="http://schemas.openxmlformats.org/officeDocument/2006/relationships/hyperlink" Target="https://www.transfermarkt.com/spielbericht/index/spielbericht/3610409" TargetMode="External"/><Relationship Id="rId140" Type="http://schemas.openxmlformats.org/officeDocument/2006/relationships/hyperlink" Target="https://www.transfermarkt.com/spielbericht/index/spielbericht/3610321" TargetMode="External"/><Relationship Id="rId5" Type="http://schemas.openxmlformats.org/officeDocument/2006/relationships/hyperlink" Target="https://www.transfermarkt.com/spielbericht/index/spielbericht/4112957" TargetMode="External"/><Relationship Id="rId147" Type="http://schemas.openxmlformats.org/officeDocument/2006/relationships/hyperlink" Target="https://www.transfermarkt.com/spielbericht/index/spielbericht/3079416" TargetMode="External"/><Relationship Id="rId6" Type="http://schemas.openxmlformats.org/officeDocument/2006/relationships/hyperlink" Target="https://www.transfermarkt.com/spielbericht/index/spielbericht/4407755" TargetMode="External"/><Relationship Id="rId146" Type="http://schemas.openxmlformats.org/officeDocument/2006/relationships/hyperlink" Target="https://www.transfermarkt.com/spielbericht/index/spielbericht/4240828" TargetMode="External"/><Relationship Id="rId7" Type="http://schemas.openxmlformats.org/officeDocument/2006/relationships/hyperlink" Target="https://www.transfermarkt.com/spielbericht/index/spielbericht/3611452" TargetMode="External"/><Relationship Id="rId145" Type="http://schemas.openxmlformats.org/officeDocument/2006/relationships/hyperlink" Target="https://www.transfermarkt.com/spielbericht/index/spielbericht/2899719" TargetMode="External"/><Relationship Id="rId8" Type="http://schemas.openxmlformats.org/officeDocument/2006/relationships/hyperlink" Target="https://www.transfermarkt.com/spielbericht/index/spielbericht/3605206" TargetMode="External"/><Relationship Id="rId144" Type="http://schemas.openxmlformats.org/officeDocument/2006/relationships/hyperlink" Target="https://www.transfermarkt.com/spielbericht/index/spielbericht/4405361" TargetMode="External"/><Relationship Id="rId139" Type="http://schemas.openxmlformats.org/officeDocument/2006/relationships/hyperlink" Target="https://www.transfermarkt.com/spielbericht/index/spielbericht/3079521" TargetMode="External"/><Relationship Id="rId138" Type="http://schemas.openxmlformats.org/officeDocument/2006/relationships/hyperlink" Target="https://www.transfermarkt.com/spielbericht/index/spielbericht/3886570" TargetMode="External"/><Relationship Id="rId137" Type="http://schemas.openxmlformats.org/officeDocument/2006/relationships/hyperlink" Target="https://www.transfermarkt.com/spielbericht/index/spielbericht/3886522" TargetMode="External"/><Relationship Id="rId132" Type="http://schemas.openxmlformats.org/officeDocument/2006/relationships/hyperlink" Target="https://www.transfermarkt.com/spielbericht/index/spielbericht/4407703" TargetMode="External"/><Relationship Id="rId131" Type="http://schemas.openxmlformats.org/officeDocument/2006/relationships/hyperlink" Target="https://www.transfermarkt.com/spielbericht/index/spielbericht/4113052" TargetMode="External"/><Relationship Id="rId373" Type="http://schemas.openxmlformats.org/officeDocument/2006/relationships/drawing" Target="../drawings/drawing2.xml"/><Relationship Id="rId130" Type="http://schemas.openxmlformats.org/officeDocument/2006/relationships/hyperlink" Target="https://www.transfermarkt.com/spielbericht/index/spielbericht/3610570" TargetMode="External"/><Relationship Id="rId372" Type="http://schemas.openxmlformats.org/officeDocument/2006/relationships/hyperlink" Target="https://www.transfermarkt.com/spielbericht/index/spielbericht/3118582" TargetMode="External"/><Relationship Id="rId371" Type="http://schemas.openxmlformats.org/officeDocument/2006/relationships/hyperlink" Target="https://www.transfermarkt.com/spielbericht/index/spielbericht/4112818" TargetMode="External"/><Relationship Id="rId136" Type="http://schemas.openxmlformats.org/officeDocument/2006/relationships/hyperlink" Target="https://www.transfermarkt.com/spielbericht/index/spielbericht/3844553" TargetMode="External"/><Relationship Id="rId135" Type="http://schemas.openxmlformats.org/officeDocument/2006/relationships/hyperlink" Target="https://www.transfermarkt.com/spielbericht/index/spielbericht/2899819" TargetMode="External"/><Relationship Id="rId134" Type="http://schemas.openxmlformats.org/officeDocument/2006/relationships/hyperlink" Target="https://www.transfermarkt.com/spielbericht/index/spielbericht/2899748" TargetMode="External"/><Relationship Id="rId133" Type="http://schemas.openxmlformats.org/officeDocument/2006/relationships/hyperlink" Target="https://www.transfermarkt.com/spielbericht/index/spielbericht/4113148" TargetMode="External"/><Relationship Id="rId172" Type="http://schemas.openxmlformats.org/officeDocument/2006/relationships/hyperlink" Target="https://www.transfermarkt.com/spielbericht/index/spielbericht/2899736" TargetMode="External"/><Relationship Id="rId171" Type="http://schemas.openxmlformats.org/officeDocument/2006/relationships/hyperlink" Target="https://www.transfermarkt.com/spielbericht/index/spielbericht/4112811" TargetMode="External"/><Relationship Id="rId170" Type="http://schemas.openxmlformats.org/officeDocument/2006/relationships/hyperlink" Target="https://www.transfermarkt.com/spielbericht/index/spielbericht/2899916" TargetMode="External"/><Relationship Id="rId165" Type="http://schemas.openxmlformats.org/officeDocument/2006/relationships/hyperlink" Target="https://www.transfermarkt.com/spielbericht/index/spielbericht/4113116" TargetMode="External"/><Relationship Id="rId164" Type="http://schemas.openxmlformats.org/officeDocument/2006/relationships/hyperlink" Target="https://www.transfermarkt.com/spielbericht/index/spielbericht/3081113" TargetMode="External"/><Relationship Id="rId163" Type="http://schemas.openxmlformats.org/officeDocument/2006/relationships/hyperlink" Target="https://www.transfermarkt.com/spielbericht/index/spielbericht/3886580" TargetMode="External"/><Relationship Id="rId162" Type="http://schemas.openxmlformats.org/officeDocument/2006/relationships/hyperlink" Target="https://www.transfermarkt.com/spielbericht/index/spielbericht/3886536" TargetMode="External"/><Relationship Id="rId169" Type="http://schemas.openxmlformats.org/officeDocument/2006/relationships/hyperlink" Target="https://www.transfermarkt.com/spielbericht/index/spielbericht/3610431" TargetMode="External"/><Relationship Id="rId168" Type="http://schemas.openxmlformats.org/officeDocument/2006/relationships/hyperlink" Target="https://www.transfermarkt.com/spielbericht/index/spielbericht/3610344" TargetMode="External"/><Relationship Id="rId167" Type="http://schemas.openxmlformats.org/officeDocument/2006/relationships/hyperlink" Target="https://www.transfermarkt.com/spielbericht/index/spielbericht/3079527" TargetMode="External"/><Relationship Id="rId166" Type="http://schemas.openxmlformats.org/officeDocument/2006/relationships/hyperlink" Target="https://www.transfermarkt.com/spielbericht/index/spielbericht/3607595" TargetMode="External"/><Relationship Id="rId161" Type="http://schemas.openxmlformats.org/officeDocument/2006/relationships/hyperlink" Target="https://www.transfermarkt.com/spielbericht/index/spielbericht/3079452" TargetMode="External"/><Relationship Id="rId160" Type="http://schemas.openxmlformats.org/officeDocument/2006/relationships/hyperlink" Target="https://www.transfermarkt.com/spielbericht/index/spielbericht/4407595" TargetMode="External"/><Relationship Id="rId159" Type="http://schemas.openxmlformats.org/officeDocument/2006/relationships/hyperlink" Target="https://www.transfermarkt.com/spielbericht/index/spielbericht/4112886" TargetMode="External"/><Relationship Id="rId154" Type="http://schemas.openxmlformats.org/officeDocument/2006/relationships/hyperlink" Target="https://www.transfermarkt.com/spielbericht/index/spielbericht/3611442" TargetMode="External"/><Relationship Id="rId153" Type="http://schemas.openxmlformats.org/officeDocument/2006/relationships/hyperlink" Target="https://www.transfermarkt.com/spielbericht/index/spielbericht/3080794" TargetMode="External"/><Relationship Id="rId152" Type="http://schemas.openxmlformats.org/officeDocument/2006/relationships/hyperlink" Target="https://www.transfermarkt.com/spielbericht/index/spielbericht/3886305" TargetMode="External"/><Relationship Id="rId151" Type="http://schemas.openxmlformats.org/officeDocument/2006/relationships/hyperlink" Target="https://www.transfermarkt.com/spielbericht/index/spielbericht/4407770" TargetMode="External"/><Relationship Id="rId158" Type="http://schemas.openxmlformats.org/officeDocument/2006/relationships/hyperlink" Target="https://www.transfermarkt.com/spielbericht/index/spielbericht/2899779" TargetMode="External"/><Relationship Id="rId157" Type="http://schemas.openxmlformats.org/officeDocument/2006/relationships/hyperlink" Target="https://www.transfermarkt.com/spielbericht/index/spielbericht/4112875" TargetMode="External"/><Relationship Id="rId156" Type="http://schemas.openxmlformats.org/officeDocument/2006/relationships/hyperlink" Target="https://www.transfermarkt.com/spielbericht/index/spielbericht/2899695" TargetMode="External"/><Relationship Id="rId155" Type="http://schemas.openxmlformats.org/officeDocument/2006/relationships/hyperlink" Target="https://www.transfermarkt.com/spielbericht/index/spielbericht/4407670" TargetMode="External"/><Relationship Id="rId40" Type="http://schemas.openxmlformats.org/officeDocument/2006/relationships/hyperlink" Target="https://www.transfermarkt.com/spielbericht/index/spielbericht/2899570" TargetMode="External"/><Relationship Id="rId42" Type="http://schemas.openxmlformats.org/officeDocument/2006/relationships/hyperlink" Target="https://www.transfermarkt.com/spielbericht/index/spielbericht/2899818" TargetMode="External"/><Relationship Id="rId41" Type="http://schemas.openxmlformats.org/officeDocument/2006/relationships/hyperlink" Target="https://www.transfermarkt.com/spielbericht/index/spielbericht/3208765" TargetMode="External"/><Relationship Id="rId44" Type="http://schemas.openxmlformats.org/officeDocument/2006/relationships/hyperlink" Target="https://www.transfermarkt.com/spielbericht/index/spielbericht/4407629" TargetMode="External"/><Relationship Id="rId43" Type="http://schemas.openxmlformats.org/officeDocument/2006/relationships/hyperlink" Target="https://www.transfermarkt.com/spielbericht/index/spielbericht/3886297" TargetMode="External"/><Relationship Id="rId46" Type="http://schemas.openxmlformats.org/officeDocument/2006/relationships/hyperlink" Target="https://www.transfermarkt.com/spielbericht/index/spielbericht/4113022" TargetMode="External"/><Relationship Id="rId45" Type="http://schemas.openxmlformats.org/officeDocument/2006/relationships/hyperlink" Target="https://www.transfermarkt.com/spielbericht/index/spielbericht/3080887" TargetMode="External"/><Relationship Id="rId48" Type="http://schemas.openxmlformats.org/officeDocument/2006/relationships/hyperlink" Target="https://www.transfermarkt.com/spielbericht/index/spielbericht/2899839" TargetMode="External"/><Relationship Id="rId47" Type="http://schemas.openxmlformats.org/officeDocument/2006/relationships/hyperlink" Target="https://www.transfermarkt.com/spielbericht/index/spielbericht/3844089" TargetMode="External"/><Relationship Id="rId49" Type="http://schemas.openxmlformats.org/officeDocument/2006/relationships/hyperlink" Target="https://www.transfermarkt.com/spielbericht/index/spielbericht/3208660" TargetMode="External"/><Relationship Id="rId31" Type="http://schemas.openxmlformats.org/officeDocument/2006/relationships/hyperlink" Target="https://www.transfermarkt.com/spielbericht/index/spielbericht/3607544" TargetMode="External"/><Relationship Id="rId30" Type="http://schemas.openxmlformats.org/officeDocument/2006/relationships/hyperlink" Target="https://www.transfermarkt.com/spielbericht/index/spielbericht/3080877" TargetMode="External"/><Relationship Id="rId33" Type="http://schemas.openxmlformats.org/officeDocument/2006/relationships/hyperlink" Target="https://www.transfermarkt.com/spielbericht/index/spielbericht/2899853" TargetMode="External"/><Relationship Id="rId32" Type="http://schemas.openxmlformats.org/officeDocument/2006/relationships/hyperlink" Target="https://www.transfermarkt.com/spielbericht/index/spielbericht/3209999" TargetMode="External"/><Relationship Id="rId35" Type="http://schemas.openxmlformats.org/officeDocument/2006/relationships/hyperlink" Target="https://www.transfermarkt.com/spielbericht/index/spielbericht/3208792" TargetMode="External"/><Relationship Id="rId34" Type="http://schemas.openxmlformats.org/officeDocument/2006/relationships/hyperlink" Target="https://www.transfermarkt.com/spielbericht/index/spielbericht/3611481" TargetMode="External"/><Relationship Id="rId37" Type="http://schemas.openxmlformats.org/officeDocument/2006/relationships/hyperlink" Target="https://www.transfermarkt.com/spielbericht/index/spielbericht/3607620" TargetMode="External"/><Relationship Id="rId36" Type="http://schemas.openxmlformats.org/officeDocument/2006/relationships/hyperlink" Target="https://www.transfermarkt.com/spielbericht/index/spielbericht/4407690" TargetMode="External"/><Relationship Id="rId39" Type="http://schemas.openxmlformats.org/officeDocument/2006/relationships/hyperlink" Target="https://www.transfermarkt.com/spielbericht/index/spielbericht/3080835" TargetMode="External"/><Relationship Id="rId38" Type="http://schemas.openxmlformats.org/officeDocument/2006/relationships/hyperlink" Target="https://www.transfermarkt.com/spielbericht/index/spielbericht/3079491" TargetMode="External"/><Relationship Id="rId20" Type="http://schemas.openxmlformats.org/officeDocument/2006/relationships/hyperlink" Target="https://www.transfermarkt.com/spielbericht/index/spielbericht/3079447" TargetMode="External"/><Relationship Id="rId22" Type="http://schemas.openxmlformats.org/officeDocument/2006/relationships/hyperlink" Target="https://www.transfermarkt.com/spielbericht/index/spielbericht/4506875" TargetMode="External"/><Relationship Id="rId21" Type="http://schemas.openxmlformats.org/officeDocument/2006/relationships/hyperlink" Target="https://www.transfermarkt.com/spielbericht/index/spielbericht/3208825" TargetMode="External"/><Relationship Id="rId24" Type="http://schemas.openxmlformats.org/officeDocument/2006/relationships/hyperlink" Target="https://www.transfermarkt.com/spielbericht/index/spielbericht/4112949" TargetMode="External"/><Relationship Id="rId23" Type="http://schemas.openxmlformats.org/officeDocument/2006/relationships/hyperlink" Target="https://www.transfermarkt.com/spielbericht/index/spielbericht/3081108" TargetMode="External"/><Relationship Id="rId26" Type="http://schemas.openxmlformats.org/officeDocument/2006/relationships/hyperlink" Target="https://www.transfermarkt.com/spielbericht/index/spielbericht/4113118" TargetMode="External"/><Relationship Id="rId25" Type="http://schemas.openxmlformats.org/officeDocument/2006/relationships/hyperlink" Target="https://www.transfermarkt.com/spielbericht/index/spielbericht/2899665" TargetMode="External"/><Relationship Id="rId28" Type="http://schemas.openxmlformats.org/officeDocument/2006/relationships/hyperlink" Target="https://www.transfermarkt.com/spielbericht/index/spielbericht/4407544" TargetMode="External"/><Relationship Id="rId27" Type="http://schemas.openxmlformats.org/officeDocument/2006/relationships/hyperlink" Target="https://www.transfermarkt.com/spielbericht/index/spielbericht/3607572" TargetMode="External"/><Relationship Id="rId29" Type="http://schemas.openxmlformats.org/officeDocument/2006/relationships/hyperlink" Target="https://www.transfermarkt.com/spielbericht/index/spielbericht/3886417" TargetMode="External"/><Relationship Id="rId11" Type="http://schemas.openxmlformats.org/officeDocument/2006/relationships/hyperlink" Target="https://www.transfermarkt.com/spielbericht/index/spielbericht/3886289" TargetMode="External"/><Relationship Id="rId10" Type="http://schemas.openxmlformats.org/officeDocument/2006/relationships/hyperlink" Target="https://www.transfermarkt.com/spielbericht/index/spielbericht/3886605" TargetMode="External"/><Relationship Id="rId13" Type="http://schemas.openxmlformats.org/officeDocument/2006/relationships/hyperlink" Target="https://www.transfermarkt.com/spielbericht/index/spielbericht/3080826" TargetMode="External"/><Relationship Id="rId12" Type="http://schemas.openxmlformats.org/officeDocument/2006/relationships/hyperlink" Target="https://www.transfermarkt.com/spielbericht/index/spielbericht/3080782" TargetMode="External"/><Relationship Id="rId15" Type="http://schemas.openxmlformats.org/officeDocument/2006/relationships/hyperlink" Target="https://www.transfermarkt.com/spielbericht/index/spielbericht/3208756" TargetMode="External"/><Relationship Id="rId14" Type="http://schemas.openxmlformats.org/officeDocument/2006/relationships/hyperlink" Target="https://www.transfermarkt.com/spielbericht/index/spielbericht/3605295" TargetMode="External"/><Relationship Id="rId17" Type="http://schemas.openxmlformats.org/officeDocument/2006/relationships/hyperlink" Target="https://www.transfermarkt.com/spielbericht/index/spielbericht/4113040" TargetMode="External"/><Relationship Id="rId16" Type="http://schemas.openxmlformats.org/officeDocument/2006/relationships/hyperlink" Target="https://www.transfermarkt.com/spielbericht/index/spielbericht/2899684" TargetMode="External"/><Relationship Id="rId19" Type="http://schemas.openxmlformats.org/officeDocument/2006/relationships/hyperlink" Target="https://www.transfermarkt.com/spielbericht/index/spielbericht/3885857" TargetMode="External"/><Relationship Id="rId18" Type="http://schemas.openxmlformats.org/officeDocument/2006/relationships/hyperlink" Target="https://www.transfermarkt.com/spielbericht/index/spielbericht/4407609" TargetMode="External"/><Relationship Id="rId84" Type="http://schemas.openxmlformats.org/officeDocument/2006/relationships/hyperlink" Target="https://www.transfermarkt.com/spielbericht/index/spielbericht/2899605" TargetMode="External"/><Relationship Id="rId83" Type="http://schemas.openxmlformats.org/officeDocument/2006/relationships/hyperlink" Target="https://www.transfermarkt.com/spielbericht/index/spielbericht/4645522" TargetMode="External"/><Relationship Id="rId86" Type="http://schemas.openxmlformats.org/officeDocument/2006/relationships/hyperlink" Target="https://www.transfermarkt.com/spielbericht/index/spielbericht/3208776" TargetMode="External"/><Relationship Id="rId85" Type="http://schemas.openxmlformats.org/officeDocument/2006/relationships/hyperlink" Target="https://www.transfermarkt.com/spielbericht/index/spielbericht/4113122" TargetMode="External"/><Relationship Id="rId88" Type="http://schemas.openxmlformats.org/officeDocument/2006/relationships/hyperlink" Target="https://www.transfermarkt.com/spielbericht/index/spielbericht/2899698" TargetMode="External"/><Relationship Id="rId87" Type="http://schemas.openxmlformats.org/officeDocument/2006/relationships/hyperlink" Target="https://www.transfermarkt.com/spielbericht/index/spielbericht/4407649" TargetMode="External"/><Relationship Id="rId89" Type="http://schemas.openxmlformats.org/officeDocument/2006/relationships/hyperlink" Target="https://www.transfermarkt.com/spielbericht/index/spielbericht/2899805" TargetMode="External"/><Relationship Id="rId80" Type="http://schemas.openxmlformats.org/officeDocument/2006/relationships/hyperlink" Target="https://www.transfermarkt.com/spielbericht/index/spielbericht/4407539" TargetMode="External"/><Relationship Id="rId82" Type="http://schemas.openxmlformats.org/officeDocument/2006/relationships/hyperlink" Target="https://www.transfermarkt.com/spielbericht/index/spielbericht/3080820" TargetMode="External"/><Relationship Id="rId81" Type="http://schemas.openxmlformats.org/officeDocument/2006/relationships/hyperlink" Target="https://www.transfermarkt.com/spielbericht/index/spielbericht/3079507" TargetMode="External"/><Relationship Id="rId73" Type="http://schemas.openxmlformats.org/officeDocument/2006/relationships/hyperlink" Target="https://www.transfermarkt.com/spielbericht/index/spielbericht/3000614" TargetMode="External"/><Relationship Id="rId72" Type="http://schemas.openxmlformats.org/officeDocument/2006/relationships/hyperlink" Target="https://www.transfermarkt.com/spielbericht/index/spielbericht/3607552" TargetMode="External"/><Relationship Id="rId75" Type="http://schemas.openxmlformats.org/officeDocument/2006/relationships/hyperlink" Target="https://www.transfermarkt.com/spielbericht/index/spielbericht/3208673" TargetMode="External"/><Relationship Id="rId74" Type="http://schemas.openxmlformats.org/officeDocument/2006/relationships/hyperlink" Target="https://www.transfermarkt.com/spielbericht/index/spielbericht/3605049" TargetMode="External"/><Relationship Id="rId77" Type="http://schemas.openxmlformats.org/officeDocument/2006/relationships/hyperlink" Target="https://www.transfermarkt.com/spielbericht/index/spielbericht/3208812" TargetMode="External"/><Relationship Id="rId76" Type="http://schemas.openxmlformats.org/officeDocument/2006/relationships/hyperlink" Target="https://www.transfermarkt.com/spielbericht/index/spielbericht/2899630" TargetMode="External"/><Relationship Id="rId79" Type="http://schemas.openxmlformats.org/officeDocument/2006/relationships/hyperlink" Target="https://www.transfermarkt.com/spielbericht/index/spielbericht/3209970" TargetMode="External"/><Relationship Id="rId78" Type="http://schemas.openxmlformats.org/officeDocument/2006/relationships/hyperlink" Target="https://www.transfermarkt.com/spielbericht/index/spielbericht/4407681" TargetMode="External"/><Relationship Id="rId71" Type="http://schemas.openxmlformats.org/officeDocument/2006/relationships/hyperlink" Target="https://www.transfermarkt.com/spielbericht/index/spielbericht/3079421" TargetMode="External"/><Relationship Id="rId70" Type="http://schemas.openxmlformats.org/officeDocument/2006/relationships/hyperlink" Target="https://www.transfermarkt.com/spielbericht/index/spielbericht/3886682" TargetMode="External"/><Relationship Id="rId62" Type="http://schemas.openxmlformats.org/officeDocument/2006/relationships/hyperlink" Target="https://www.transfermarkt.com/spielbericht/index/spielbericht/3858321" TargetMode="External"/><Relationship Id="rId61" Type="http://schemas.openxmlformats.org/officeDocument/2006/relationships/hyperlink" Target="https://www.transfermarkt.com/spielbericht/index/spielbericht/4361550" TargetMode="External"/><Relationship Id="rId64" Type="http://schemas.openxmlformats.org/officeDocument/2006/relationships/hyperlink" Target="https://www.transfermarkt.com/spielbericht/index/spielbericht/3079309" TargetMode="External"/><Relationship Id="rId63" Type="http://schemas.openxmlformats.org/officeDocument/2006/relationships/hyperlink" Target="https://www.transfermarkt.com/spielbericht/index/spielbericht/4407729" TargetMode="External"/><Relationship Id="rId66" Type="http://schemas.openxmlformats.org/officeDocument/2006/relationships/hyperlink" Target="https://www.transfermarkt.com/spielbericht/index/spielbericht/3607600" TargetMode="External"/><Relationship Id="rId65" Type="http://schemas.openxmlformats.org/officeDocument/2006/relationships/hyperlink" Target="https://www.transfermarkt.com/spielbericht/index/spielbericht/2899654" TargetMode="External"/><Relationship Id="rId68" Type="http://schemas.openxmlformats.org/officeDocument/2006/relationships/hyperlink" Target="https://www.transfermarkt.com/spielbericht/index/spielbericht/3208716" TargetMode="External"/><Relationship Id="rId67" Type="http://schemas.openxmlformats.org/officeDocument/2006/relationships/hyperlink" Target="https://www.transfermarkt.com/spielbericht/index/spielbericht/4407634" TargetMode="External"/><Relationship Id="rId60" Type="http://schemas.openxmlformats.org/officeDocument/2006/relationships/hyperlink" Target="https://www.transfermarkt.com/spielbericht/index/spielbericht/4113180" TargetMode="External"/><Relationship Id="rId69" Type="http://schemas.openxmlformats.org/officeDocument/2006/relationships/hyperlink" Target="https://www.transfermarkt.com/spielbericht/index/spielbericht/3080893" TargetMode="External"/><Relationship Id="rId51" Type="http://schemas.openxmlformats.org/officeDocument/2006/relationships/hyperlink" Target="https://www.transfermarkt.com/spielbericht/index/spielbericht/3208809" TargetMode="External"/><Relationship Id="rId50" Type="http://schemas.openxmlformats.org/officeDocument/2006/relationships/hyperlink" Target="https://www.transfermarkt.com/spielbericht/index/spielbericht/2899617" TargetMode="External"/><Relationship Id="rId53" Type="http://schemas.openxmlformats.org/officeDocument/2006/relationships/hyperlink" Target="https://www.transfermarkt.com/spielbericht/index/spielbericht/3079376" TargetMode="External"/><Relationship Id="rId52" Type="http://schemas.openxmlformats.org/officeDocument/2006/relationships/hyperlink" Target="https://www.transfermarkt.com/spielbericht/index/spielbericht/3209959" TargetMode="External"/><Relationship Id="rId55" Type="http://schemas.openxmlformats.org/officeDocument/2006/relationships/hyperlink" Target="https://www.transfermarkt.com/spielbericht/index/spielbericht/4645608" TargetMode="External"/><Relationship Id="rId54" Type="http://schemas.openxmlformats.org/officeDocument/2006/relationships/hyperlink" Target="https://www.transfermarkt.com/spielbericht/index/spielbericht/3080802" TargetMode="External"/><Relationship Id="rId57" Type="http://schemas.openxmlformats.org/officeDocument/2006/relationships/hyperlink" Target="https://www.transfermarkt.com/spielbericht/index/spielbericht/4113106" TargetMode="External"/><Relationship Id="rId56" Type="http://schemas.openxmlformats.org/officeDocument/2006/relationships/hyperlink" Target="https://www.transfermarkt.com/spielbericht/index/spielbericht/2899586" TargetMode="External"/><Relationship Id="rId59" Type="http://schemas.openxmlformats.org/officeDocument/2006/relationships/hyperlink" Target="https://www.transfermarkt.com/spielbericht/index/spielbericht/2899791" TargetMode="External"/><Relationship Id="rId58" Type="http://schemas.openxmlformats.org/officeDocument/2006/relationships/hyperlink" Target="https://www.transfermarkt.com/spielbericht/index/spielbericht/4112850" TargetMode="External"/><Relationship Id="rId107" Type="http://schemas.openxmlformats.org/officeDocument/2006/relationships/hyperlink" Target="https://www.transfermarkt.com/spielbericht/index/spielbericht/4113124" TargetMode="External"/><Relationship Id="rId349" Type="http://schemas.openxmlformats.org/officeDocument/2006/relationships/hyperlink" Target="https://www.transfermarkt.com/spielbericht/index/spielbericht/2917427" TargetMode="External"/><Relationship Id="rId106" Type="http://schemas.openxmlformats.org/officeDocument/2006/relationships/hyperlink" Target="https://www.transfermarkt.com/spielbericht/index/spielbericht/2899649" TargetMode="External"/><Relationship Id="rId348" Type="http://schemas.openxmlformats.org/officeDocument/2006/relationships/hyperlink" Target="https://www.transfermarkt.com/spielbericht/index/spielbericht/3307692" TargetMode="External"/><Relationship Id="rId105" Type="http://schemas.openxmlformats.org/officeDocument/2006/relationships/hyperlink" Target="https://www.transfermarkt.com/spielbericht/index/spielbericht/4405353" TargetMode="External"/><Relationship Id="rId347" Type="http://schemas.openxmlformats.org/officeDocument/2006/relationships/hyperlink" Target="https://www.transfermarkt.com/spielbericht/index/spielbericht/4243689" TargetMode="External"/><Relationship Id="rId104" Type="http://schemas.openxmlformats.org/officeDocument/2006/relationships/hyperlink" Target="https://www.transfermarkt.com/spielbericht/index/spielbericht/3208697" TargetMode="External"/><Relationship Id="rId346" Type="http://schemas.openxmlformats.org/officeDocument/2006/relationships/hyperlink" Target="https://www.transfermarkt.com/spielbericht/index/spielbericht/4112873" TargetMode="External"/><Relationship Id="rId109" Type="http://schemas.openxmlformats.org/officeDocument/2006/relationships/hyperlink" Target="https://www.transfermarkt.com/spielbericht/index/spielbericht/3079406" TargetMode="External"/><Relationship Id="rId108" Type="http://schemas.openxmlformats.org/officeDocument/2006/relationships/hyperlink" Target="https://www.transfermarkt.com/spielbericht/index/spielbericht/3886650" TargetMode="External"/><Relationship Id="rId341" Type="http://schemas.openxmlformats.org/officeDocument/2006/relationships/hyperlink" Target="https://www.transfermarkt.com/spielbericht/index/spielbericht/4527518" TargetMode="External"/><Relationship Id="rId340" Type="http://schemas.openxmlformats.org/officeDocument/2006/relationships/hyperlink" Target="https://www.transfermarkt.com/spielbericht/index/spielbericht/2982007" TargetMode="External"/><Relationship Id="rId103" Type="http://schemas.openxmlformats.org/officeDocument/2006/relationships/hyperlink" Target="https://www.transfermarkt.com/spielbericht/index/spielbericht/3886515" TargetMode="External"/><Relationship Id="rId345" Type="http://schemas.openxmlformats.org/officeDocument/2006/relationships/hyperlink" Target="https://www.transfermarkt.com/spielbericht/index/spielbericht/3651085" TargetMode="External"/><Relationship Id="rId102" Type="http://schemas.openxmlformats.org/officeDocument/2006/relationships/hyperlink" Target="https://www.transfermarkt.com/spielbericht/index/spielbericht/3607570" TargetMode="External"/><Relationship Id="rId344" Type="http://schemas.openxmlformats.org/officeDocument/2006/relationships/hyperlink" Target="https://www.transfermarkt.com/spielbericht/index/spielbericht/3208724" TargetMode="External"/><Relationship Id="rId101" Type="http://schemas.openxmlformats.org/officeDocument/2006/relationships/hyperlink" Target="https://www.transfermarkt.com/spielbericht/index/spielbericht/3081092" TargetMode="External"/><Relationship Id="rId343" Type="http://schemas.openxmlformats.org/officeDocument/2006/relationships/hyperlink" Target="https://www.transfermarkt.com/spielbericht/index/spielbericht/2917396" TargetMode="External"/><Relationship Id="rId100" Type="http://schemas.openxmlformats.org/officeDocument/2006/relationships/hyperlink" Target="https://www.transfermarkt.com/spielbericht/index/spielbericht/4112843" TargetMode="External"/><Relationship Id="rId342" Type="http://schemas.openxmlformats.org/officeDocument/2006/relationships/hyperlink" Target="https://www.transfermarkt.com/spielbericht/index/spielbericht/2989785" TargetMode="External"/><Relationship Id="rId338" Type="http://schemas.openxmlformats.org/officeDocument/2006/relationships/hyperlink" Target="https://www.transfermarkt.com/spielbericht/index/spielbericht/3135810" TargetMode="External"/><Relationship Id="rId337" Type="http://schemas.openxmlformats.org/officeDocument/2006/relationships/hyperlink" Target="https://www.transfermarkt.com/spielbericht/index/spielbericht/3911767" TargetMode="External"/><Relationship Id="rId336" Type="http://schemas.openxmlformats.org/officeDocument/2006/relationships/hyperlink" Target="https://www.transfermarkt.com/spielbericht/index/spielbericht/4445056" TargetMode="External"/><Relationship Id="rId335" Type="http://schemas.openxmlformats.org/officeDocument/2006/relationships/hyperlink" Target="https://www.transfermarkt.com/spielbericht/index/spielbericht/4312024" TargetMode="External"/><Relationship Id="rId339" Type="http://schemas.openxmlformats.org/officeDocument/2006/relationships/hyperlink" Target="https://www.transfermarkt.com/spielbericht/index/spielbericht/4174084" TargetMode="External"/><Relationship Id="rId330" Type="http://schemas.openxmlformats.org/officeDocument/2006/relationships/hyperlink" Target="https://www.transfermarkt.com/spielbericht/index/spielbericht/3911786" TargetMode="External"/><Relationship Id="rId334" Type="http://schemas.openxmlformats.org/officeDocument/2006/relationships/hyperlink" Target="https://www.transfermarkt.com/spielbericht/index/spielbericht/3167767" TargetMode="External"/><Relationship Id="rId333" Type="http://schemas.openxmlformats.org/officeDocument/2006/relationships/hyperlink" Target="https://www.transfermarkt.com/spielbericht/index/spielbericht/2899862" TargetMode="External"/><Relationship Id="rId332" Type="http://schemas.openxmlformats.org/officeDocument/2006/relationships/hyperlink" Target="https://www.transfermarkt.com/spielbericht/index/spielbericht/4547645" TargetMode="External"/><Relationship Id="rId331" Type="http://schemas.openxmlformats.org/officeDocument/2006/relationships/hyperlink" Target="https://www.transfermarkt.com/spielbericht/index/spielbericht/3651134" TargetMode="External"/><Relationship Id="rId370" Type="http://schemas.openxmlformats.org/officeDocument/2006/relationships/hyperlink" Target="https://www.transfermarkt.com/spielbericht/index/spielbericht/4547652" TargetMode="External"/><Relationship Id="rId129" Type="http://schemas.openxmlformats.org/officeDocument/2006/relationships/hyperlink" Target="https://www.transfermarkt.com/spielbericht/index/spielbericht/4113005" TargetMode="External"/><Relationship Id="rId128" Type="http://schemas.openxmlformats.org/officeDocument/2006/relationships/hyperlink" Target="https://www.transfermarkt.com/spielbericht/index/spielbericht/3079472" TargetMode="External"/><Relationship Id="rId127" Type="http://schemas.openxmlformats.org/officeDocument/2006/relationships/hyperlink" Target="https://www.transfermarkt.com/spielbericht/index/spielbericht/3079324" TargetMode="External"/><Relationship Id="rId369" Type="http://schemas.openxmlformats.org/officeDocument/2006/relationships/hyperlink" Target="https://www.transfermarkt.com/spielbericht/index/spielbericht/3148385" TargetMode="External"/><Relationship Id="rId126" Type="http://schemas.openxmlformats.org/officeDocument/2006/relationships/hyperlink" Target="https://www.transfermarkt.com/spielbericht/index/spielbericht/4407734" TargetMode="External"/><Relationship Id="rId368" Type="http://schemas.openxmlformats.org/officeDocument/2006/relationships/hyperlink" Target="https://www.transfermarkt.com/spielbericht/index/spielbericht/2929842" TargetMode="External"/><Relationship Id="rId121" Type="http://schemas.openxmlformats.org/officeDocument/2006/relationships/hyperlink" Target="https://www.transfermarkt.com/spielbericht/index/spielbericht/2899620" TargetMode="External"/><Relationship Id="rId363" Type="http://schemas.openxmlformats.org/officeDocument/2006/relationships/hyperlink" Target="https://www.transfermarkt.com/spielbericht/index/spielbericht/3607529" TargetMode="External"/><Relationship Id="rId120" Type="http://schemas.openxmlformats.org/officeDocument/2006/relationships/hyperlink" Target="https://www.transfermarkt.com/spielbericht/index/spielbericht/3611471" TargetMode="External"/><Relationship Id="rId362" Type="http://schemas.openxmlformats.org/officeDocument/2006/relationships/hyperlink" Target="https://www.transfermarkt.com/spielbericht/index/spielbericht/2917387" TargetMode="External"/><Relationship Id="rId361" Type="http://schemas.openxmlformats.org/officeDocument/2006/relationships/hyperlink" Target="https://www.transfermarkt.com/spielbericht/index/spielbericht/3153160" TargetMode="External"/><Relationship Id="rId360" Type="http://schemas.openxmlformats.org/officeDocument/2006/relationships/hyperlink" Target="https://www.transfermarkt.com/spielbericht/index/spielbericht/3911756" TargetMode="External"/><Relationship Id="rId125" Type="http://schemas.openxmlformats.org/officeDocument/2006/relationships/hyperlink" Target="https://www.transfermarkt.com/spielbericht/index/spielbericht/4407783" TargetMode="External"/><Relationship Id="rId367" Type="http://schemas.openxmlformats.org/officeDocument/2006/relationships/hyperlink" Target="https://www.transfermarkt.com/spielbericht/index/spielbericht/3651070" TargetMode="External"/><Relationship Id="rId124" Type="http://schemas.openxmlformats.org/officeDocument/2006/relationships/hyperlink" Target="https://www.transfermarkt.com/spielbericht/index/spielbericht/3209793" TargetMode="External"/><Relationship Id="rId366" Type="http://schemas.openxmlformats.org/officeDocument/2006/relationships/hyperlink" Target="https://www.transfermarkt.com/spielbericht/index/spielbericht/4445065" TargetMode="External"/><Relationship Id="rId123" Type="http://schemas.openxmlformats.org/officeDocument/2006/relationships/hyperlink" Target="https://www.transfermarkt.com/spielbericht/index/spielbericht/3607612" TargetMode="External"/><Relationship Id="rId365" Type="http://schemas.openxmlformats.org/officeDocument/2006/relationships/hyperlink" Target="https://www.transfermarkt.com/spielbericht/index/spielbericht/3098029" TargetMode="External"/><Relationship Id="rId122" Type="http://schemas.openxmlformats.org/officeDocument/2006/relationships/hyperlink" Target="https://www.transfermarkt.com/spielbericht/index/spielbericht/3208784" TargetMode="External"/><Relationship Id="rId364" Type="http://schemas.openxmlformats.org/officeDocument/2006/relationships/hyperlink" Target="https://www.transfermarkt.com/spielbericht/index/spielbericht/3252228" TargetMode="External"/><Relationship Id="rId95" Type="http://schemas.openxmlformats.org/officeDocument/2006/relationships/hyperlink" Target="https://www.transfermarkt.com/spielbericht/index/spielbericht/3079320" TargetMode="External"/><Relationship Id="rId94" Type="http://schemas.openxmlformats.org/officeDocument/2006/relationships/hyperlink" Target="https://www.transfermarkt.com/spielbericht/index/spielbericht/3162692" TargetMode="External"/><Relationship Id="rId97" Type="http://schemas.openxmlformats.org/officeDocument/2006/relationships/hyperlink" Target="https://www.transfermarkt.com/spielbericht/index/spielbericht/4588078" TargetMode="External"/><Relationship Id="rId96" Type="http://schemas.openxmlformats.org/officeDocument/2006/relationships/hyperlink" Target="https://www.transfermarkt.com/spielbericht/index/spielbericht/4113089" TargetMode="External"/><Relationship Id="rId99" Type="http://schemas.openxmlformats.org/officeDocument/2006/relationships/hyperlink" Target="https://www.transfermarkt.com/spielbericht/index/spielbericht/4407518" TargetMode="External"/><Relationship Id="rId98" Type="http://schemas.openxmlformats.org/officeDocument/2006/relationships/hyperlink" Target="https://www.transfermarkt.com/spielbericht/index/spielbericht/2899930" TargetMode="External"/><Relationship Id="rId91" Type="http://schemas.openxmlformats.org/officeDocument/2006/relationships/hyperlink" Target="https://www.transfermarkt.com/spielbericht/index/spielbericht/4361561" TargetMode="External"/><Relationship Id="rId90" Type="http://schemas.openxmlformats.org/officeDocument/2006/relationships/hyperlink" Target="https://www.transfermarkt.com/spielbericht/index/spielbericht/4113026" TargetMode="External"/><Relationship Id="rId93" Type="http://schemas.openxmlformats.org/officeDocument/2006/relationships/hyperlink" Target="https://www.transfermarkt.com/spielbericht/index/spielbericht/3208850" TargetMode="External"/><Relationship Id="rId92" Type="http://schemas.openxmlformats.org/officeDocument/2006/relationships/hyperlink" Target="https://www.transfermarkt.com/spielbericht/index/spielbericht/3079461" TargetMode="External"/><Relationship Id="rId118" Type="http://schemas.openxmlformats.org/officeDocument/2006/relationships/hyperlink" Target="https://www.transfermarkt.com/spielbericht/index/spielbericht/3886464" TargetMode="External"/><Relationship Id="rId117" Type="http://schemas.openxmlformats.org/officeDocument/2006/relationships/hyperlink" Target="https://www.transfermarkt.com/spielbericht/index/spielbericht/4364906" TargetMode="External"/><Relationship Id="rId359" Type="http://schemas.openxmlformats.org/officeDocument/2006/relationships/hyperlink" Target="https://www.transfermarkt.com/spielbericht/index/spielbericht/3079393" TargetMode="External"/><Relationship Id="rId116" Type="http://schemas.openxmlformats.org/officeDocument/2006/relationships/hyperlink" Target="https://www.transfermarkt.com/spielbericht/index/spielbericht/3208655" TargetMode="External"/><Relationship Id="rId358" Type="http://schemas.openxmlformats.org/officeDocument/2006/relationships/hyperlink" Target="https://www.transfermarkt.com/spielbericht/index/spielbericht/3886647" TargetMode="External"/><Relationship Id="rId115" Type="http://schemas.openxmlformats.org/officeDocument/2006/relationships/hyperlink" Target="https://www.transfermarkt.com/spielbericht/index/spielbericht/2899845" TargetMode="External"/><Relationship Id="rId357" Type="http://schemas.openxmlformats.org/officeDocument/2006/relationships/hyperlink" Target="https://www.transfermarkt.com/spielbericht/index/spielbericht/4174065" TargetMode="External"/><Relationship Id="rId119" Type="http://schemas.openxmlformats.org/officeDocument/2006/relationships/hyperlink" Target="https://www.transfermarkt.com/spielbericht/index/spielbericht/3209984" TargetMode="External"/><Relationship Id="rId110" Type="http://schemas.openxmlformats.org/officeDocument/2006/relationships/hyperlink" Target="https://www.transfermarkt.com/spielbericht/index/spielbericht/3886389" TargetMode="External"/><Relationship Id="rId352" Type="http://schemas.openxmlformats.org/officeDocument/2006/relationships/hyperlink" Target="https://www.transfermarkt.com/spielbericht/index/spielbericht/4445064" TargetMode="External"/><Relationship Id="rId351" Type="http://schemas.openxmlformats.org/officeDocument/2006/relationships/hyperlink" Target="https://www.transfermarkt.com/spielbericht/index/spielbericht/3252197" TargetMode="External"/><Relationship Id="rId350" Type="http://schemas.openxmlformats.org/officeDocument/2006/relationships/hyperlink" Target="https://www.transfermarkt.com/spielbericht/index/spielbericht/3148381" TargetMode="External"/><Relationship Id="rId114" Type="http://schemas.openxmlformats.org/officeDocument/2006/relationships/hyperlink" Target="https://www.transfermarkt.com/spielbericht/index/spielbericht/4407654" TargetMode="External"/><Relationship Id="rId356" Type="http://schemas.openxmlformats.org/officeDocument/2006/relationships/hyperlink" Target="https://www.transfermarkt.com/spielbericht/index/spielbericht/4405339" TargetMode="External"/><Relationship Id="rId113" Type="http://schemas.openxmlformats.org/officeDocument/2006/relationships/hyperlink" Target="https://www.transfermarkt.com/spielbericht/index/spielbericht/3607532" TargetMode="External"/><Relationship Id="rId355" Type="http://schemas.openxmlformats.org/officeDocument/2006/relationships/hyperlink" Target="https://www.transfermarkt.com/spielbericht/index/spielbericht/4004792" TargetMode="External"/><Relationship Id="rId112" Type="http://schemas.openxmlformats.org/officeDocument/2006/relationships/hyperlink" Target="https://www.transfermarkt.com/spielbericht/index/spielbericht/4112976" TargetMode="External"/><Relationship Id="rId354" Type="http://schemas.openxmlformats.org/officeDocument/2006/relationships/hyperlink" Target="https://www.transfermarkt.com/spielbericht/index/spielbericht/3097998" TargetMode="External"/><Relationship Id="rId111" Type="http://schemas.openxmlformats.org/officeDocument/2006/relationships/hyperlink" Target="https://www.transfermarkt.com/spielbericht/index/spielbericht/3080853" TargetMode="External"/><Relationship Id="rId353" Type="http://schemas.openxmlformats.org/officeDocument/2006/relationships/hyperlink" Target="https://www.transfermarkt.com/spielbericht/index/spielbericht/4270168" TargetMode="External"/><Relationship Id="rId305" Type="http://schemas.openxmlformats.org/officeDocument/2006/relationships/hyperlink" Target="https://www.transfermarkt.com/spielbericht/index/spielbericht/3651110" TargetMode="External"/><Relationship Id="rId304" Type="http://schemas.openxmlformats.org/officeDocument/2006/relationships/hyperlink" Target="https://www.transfermarkt.com/spielbericht/index/spielbericht/3886696" TargetMode="External"/><Relationship Id="rId303" Type="http://schemas.openxmlformats.org/officeDocument/2006/relationships/hyperlink" Target="https://www.transfermarkt.com/spielbericht/index/spielbericht/3081081" TargetMode="External"/><Relationship Id="rId302" Type="http://schemas.openxmlformats.org/officeDocument/2006/relationships/hyperlink" Target="https://www.transfermarkt.com/spielbericht/index/spielbericht/4407616" TargetMode="External"/><Relationship Id="rId309" Type="http://schemas.openxmlformats.org/officeDocument/2006/relationships/hyperlink" Target="https://www.transfermarkt.com/spielbericht/index/spielbericht/4557606" TargetMode="External"/><Relationship Id="rId308" Type="http://schemas.openxmlformats.org/officeDocument/2006/relationships/hyperlink" Target="https://www.transfermarkt.com/spielbericht/index/spielbericht/3291934" TargetMode="External"/><Relationship Id="rId307" Type="http://schemas.openxmlformats.org/officeDocument/2006/relationships/hyperlink" Target="https://www.transfermarkt.com/spielbericht/index/spielbericht/2929830" TargetMode="External"/><Relationship Id="rId306" Type="http://schemas.openxmlformats.org/officeDocument/2006/relationships/hyperlink" Target="https://www.transfermarkt.com/spielbericht/index/spielbericht/3208679" TargetMode="External"/><Relationship Id="rId301" Type="http://schemas.openxmlformats.org/officeDocument/2006/relationships/hyperlink" Target="https://www.transfermarkt.com/spielbericht/index/spielbericht/3605202" TargetMode="External"/><Relationship Id="rId300" Type="http://schemas.openxmlformats.org/officeDocument/2006/relationships/hyperlink" Target="https://www.transfermarkt.com/spielbericht/index/spielbericht/4445085" TargetMode="External"/><Relationship Id="rId327" Type="http://schemas.openxmlformats.org/officeDocument/2006/relationships/hyperlink" Target="https://www.transfermarkt.com/spielbericht/index/spielbericht/3118601" TargetMode="External"/><Relationship Id="rId326" Type="http://schemas.openxmlformats.org/officeDocument/2006/relationships/hyperlink" Target="https://www.transfermarkt.com/spielbericht/index/spielbericht/4017422" TargetMode="External"/><Relationship Id="rId325" Type="http://schemas.openxmlformats.org/officeDocument/2006/relationships/hyperlink" Target="https://www.transfermarkt.com/spielbericht/index/spielbericht/4547632" TargetMode="External"/><Relationship Id="rId324" Type="http://schemas.openxmlformats.org/officeDocument/2006/relationships/hyperlink" Target="https://www.transfermarkt.com/spielbericht/index/spielbericht/3716580" TargetMode="External"/><Relationship Id="rId329" Type="http://schemas.openxmlformats.org/officeDocument/2006/relationships/hyperlink" Target="https://www.transfermarkt.com/spielbericht/index/spielbericht/4445124" TargetMode="External"/><Relationship Id="rId328" Type="http://schemas.openxmlformats.org/officeDocument/2006/relationships/hyperlink" Target="https://www.transfermarkt.com/spielbericht/index/spielbericht/3153158" TargetMode="External"/><Relationship Id="rId323" Type="http://schemas.openxmlformats.org/officeDocument/2006/relationships/hyperlink" Target="https://www.transfermarkt.com/spielbericht/index/spielbericht/4174055" TargetMode="External"/><Relationship Id="rId322" Type="http://schemas.openxmlformats.org/officeDocument/2006/relationships/hyperlink" Target="https://www.transfermarkt.com/spielbericht/index/spielbericht/3018929" TargetMode="External"/><Relationship Id="rId321" Type="http://schemas.openxmlformats.org/officeDocument/2006/relationships/hyperlink" Target="https://www.transfermarkt.com/spielbericht/index/spielbericht/3989534" TargetMode="External"/><Relationship Id="rId320" Type="http://schemas.openxmlformats.org/officeDocument/2006/relationships/hyperlink" Target="https://www.transfermarkt.com/spielbericht/index/spielbericht/3097981" TargetMode="External"/><Relationship Id="rId316" Type="http://schemas.openxmlformats.org/officeDocument/2006/relationships/hyperlink" Target="https://www.transfermarkt.com/spielbericht/index/spielbericht/3886496" TargetMode="External"/><Relationship Id="rId315" Type="http://schemas.openxmlformats.org/officeDocument/2006/relationships/hyperlink" Target="https://www.transfermarkt.com/spielbericht/index/spielbericht/2917412" TargetMode="External"/><Relationship Id="rId314" Type="http://schemas.openxmlformats.org/officeDocument/2006/relationships/hyperlink" Target="https://www.transfermarkt.com/spielbericht/index/spielbericht/3208744" TargetMode="External"/><Relationship Id="rId313" Type="http://schemas.openxmlformats.org/officeDocument/2006/relationships/hyperlink" Target="https://www.transfermarkt.com/spielbericht/index/spielbericht/4171316" TargetMode="External"/><Relationship Id="rId319" Type="http://schemas.openxmlformats.org/officeDocument/2006/relationships/hyperlink" Target="https://www.transfermarkt.com/spielbericht/index/spielbericht/3252173" TargetMode="External"/><Relationship Id="rId318" Type="http://schemas.openxmlformats.org/officeDocument/2006/relationships/hyperlink" Target="https://www.transfermarkt.com/spielbericht/index/spielbericht/4557608" TargetMode="External"/><Relationship Id="rId317" Type="http://schemas.openxmlformats.org/officeDocument/2006/relationships/hyperlink" Target="https://www.transfermarkt.com/spielbericht/index/spielbericht/3177022" TargetMode="External"/><Relationship Id="rId312" Type="http://schemas.openxmlformats.org/officeDocument/2006/relationships/hyperlink" Target="https://www.transfermarkt.com/spielbericht/index/spielbericht/4361568" TargetMode="External"/><Relationship Id="rId311" Type="http://schemas.openxmlformats.org/officeDocument/2006/relationships/hyperlink" Target="https://www.transfermarkt.com/spielbericht/index/spielbericht/4445067" TargetMode="External"/><Relationship Id="rId310" Type="http://schemas.openxmlformats.org/officeDocument/2006/relationships/hyperlink" Target="https://www.transfermarkt.com/spielbericht/index/spielbericht/4113069" TargetMode="External"/><Relationship Id="rId297" Type="http://schemas.openxmlformats.org/officeDocument/2006/relationships/hyperlink" Target="https://www.transfermarkt.com/spielbericht/index/spielbericht/2899594" TargetMode="External"/><Relationship Id="rId296" Type="http://schemas.openxmlformats.org/officeDocument/2006/relationships/hyperlink" Target="https://www.transfermarkt.com/spielbericht/index/spielbericht/3135805" TargetMode="External"/><Relationship Id="rId295" Type="http://schemas.openxmlformats.org/officeDocument/2006/relationships/hyperlink" Target="https://www.transfermarkt.com/spielbericht/index/spielbericht/3097957" TargetMode="External"/><Relationship Id="rId294" Type="http://schemas.openxmlformats.org/officeDocument/2006/relationships/hyperlink" Target="https://www.transfermarkt.com/spielbericht/index/spielbericht/3252157" TargetMode="External"/><Relationship Id="rId299" Type="http://schemas.openxmlformats.org/officeDocument/2006/relationships/hyperlink" Target="https://www.transfermarkt.com/spielbericht/index/spielbericht/2981999" TargetMode="External"/><Relationship Id="rId298" Type="http://schemas.openxmlformats.org/officeDocument/2006/relationships/hyperlink" Target="https://www.transfermarkt.com/spielbericht/index/spielbericht/4174054" TargetMode="External"/><Relationship Id="rId271" Type="http://schemas.openxmlformats.org/officeDocument/2006/relationships/hyperlink" Target="https://www.transfermarkt.com/spielbericht/index/spielbericht/3651093" TargetMode="External"/><Relationship Id="rId270" Type="http://schemas.openxmlformats.org/officeDocument/2006/relationships/hyperlink" Target="https://www.transfermarkt.com/spielbericht/index/spielbericht/3886662" TargetMode="External"/><Relationship Id="rId269" Type="http://schemas.openxmlformats.org/officeDocument/2006/relationships/hyperlink" Target="https://www.transfermarkt.com/spielbericht/index/spielbericht/3080868" TargetMode="External"/><Relationship Id="rId264" Type="http://schemas.openxmlformats.org/officeDocument/2006/relationships/hyperlink" Target="https://www.transfermarkt.com/spielbericht/index/spielbericht/4645542" TargetMode="External"/><Relationship Id="rId263" Type="http://schemas.openxmlformats.org/officeDocument/2006/relationships/hyperlink" Target="https://www.transfermarkt.com/spielbericht/index/spielbericht/2989790" TargetMode="External"/><Relationship Id="rId262" Type="http://schemas.openxmlformats.org/officeDocument/2006/relationships/hyperlink" Target="https://www.transfermarkt.com/spielbericht/index/spielbericht/3714023" TargetMode="External"/><Relationship Id="rId261" Type="http://schemas.openxmlformats.org/officeDocument/2006/relationships/hyperlink" Target="https://www.transfermarkt.com/spielbericht/index/spielbericht/3605216" TargetMode="External"/><Relationship Id="rId268" Type="http://schemas.openxmlformats.org/officeDocument/2006/relationships/hyperlink" Target="https://www.transfermarkt.com/spielbericht/index/spielbericht/3911763" TargetMode="External"/><Relationship Id="rId267" Type="http://schemas.openxmlformats.org/officeDocument/2006/relationships/hyperlink" Target="https://www.transfermarkt.com/spielbericht/index/spielbericht/4445066" TargetMode="External"/><Relationship Id="rId266" Type="http://schemas.openxmlformats.org/officeDocument/2006/relationships/hyperlink" Target="https://www.transfermarkt.com/spielbericht/index/spielbericht/3310294" TargetMode="External"/><Relationship Id="rId265" Type="http://schemas.openxmlformats.org/officeDocument/2006/relationships/hyperlink" Target="https://www.transfermarkt.com/spielbericht/index/spielbericht/4407785" TargetMode="External"/><Relationship Id="rId260" Type="http://schemas.openxmlformats.org/officeDocument/2006/relationships/hyperlink" Target="https://www.transfermarkt.com/spielbericht/index/spielbericht/3956716" TargetMode="External"/><Relationship Id="rId259" Type="http://schemas.openxmlformats.org/officeDocument/2006/relationships/hyperlink" Target="https://www.transfermarkt.com/spielbericht/index/spielbericht/3611467" TargetMode="External"/><Relationship Id="rId258" Type="http://schemas.openxmlformats.org/officeDocument/2006/relationships/hyperlink" Target="https://www.transfermarkt.com/spielbericht/index/spielbericht/3886330" TargetMode="External"/><Relationship Id="rId253" Type="http://schemas.openxmlformats.org/officeDocument/2006/relationships/hyperlink" Target="https://www.transfermarkt.com/spielbericht/index/spielbericht/3757970" TargetMode="External"/><Relationship Id="rId252" Type="http://schemas.openxmlformats.org/officeDocument/2006/relationships/hyperlink" Target="https://www.transfermarkt.com/spielbericht/index/spielbericht/3714015" TargetMode="External"/><Relationship Id="rId251" Type="http://schemas.openxmlformats.org/officeDocument/2006/relationships/hyperlink" Target="https://www.transfermarkt.com/spielbericht/index/spielbericht/3142975" TargetMode="External"/><Relationship Id="rId250" Type="http://schemas.openxmlformats.org/officeDocument/2006/relationships/hyperlink" Target="https://www.transfermarkt.com/spielbericht/index/spielbericht/4112915" TargetMode="External"/><Relationship Id="rId257" Type="http://schemas.openxmlformats.org/officeDocument/2006/relationships/hyperlink" Target="https://www.transfermarkt.com/spielbericht/index/spielbericht/3727226" TargetMode="External"/><Relationship Id="rId256" Type="http://schemas.openxmlformats.org/officeDocument/2006/relationships/hyperlink" Target="https://www.transfermarkt.com/spielbericht/index/spielbericht/4445152" TargetMode="External"/><Relationship Id="rId255" Type="http://schemas.openxmlformats.org/officeDocument/2006/relationships/hyperlink" Target="https://www.transfermarkt.com/spielbericht/index/spielbericht/3997409" TargetMode="External"/><Relationship Id="rId254" Type="http://schemas.openxmlformats.org/officeDocument/2006/relationships/hyperlink" Target="https://www.transfermarkt.com/spielbericht/index/spielbericht/4259181" TargetMode="External"/><Relationship Id="rId293" Type="http://schemas.openxmlformats.org/officeDocument/2006/relationships/hyperlink" Target="https://www.transfermarkt.com/spielbericht/index/spielbericht/2899871" TargetMode="External"/><Relationship Id="rId292" Type="http://schemas.openxmlformats.org/officeDocument/2006/relationships/hyperlink" Target="https://www.transfermarkt.com/spielbericht/index/spielbericht/4312028" TargetMode="External"/><Relationship Id="rId291" Type="http://schemas.openxmlformats.org/officeDocument/2006/relationships/hyperlink" Target="https://www.transfermarkt.com/spielbericht/index/spielbericht/3167768" TargetMode="External"/><Relationship Id="rId290" Type="http://schemas.openxmlformats.org/officeDocument/2006/relationships/hyperlink" Target="https://www.transfermarkt.com/spielbericht/index/spielbericht/4547649" TargetMode="External"/><Relationship Id="rId286" Type="http://schemas.openxmlformats.org/officeDocument/2006/relationships/hyperlink" Target="https://www.transfermarkt.com/spielbericht/index/spielbericht/4243697" TargetMode="External"/><Relationship Id="rId285" Type="http://schemas.openxmlformats.org/officeDocument/2006/relationships/hyperlink" Target="https://www.transfermarkt.com/spielbericht/index/spielbericht/3098045" TargetMode="External"/><Relationship Id="rId284" Type="http://schemas.openxmlformats.org/officeDocument/2006/relationships/hyperlink" Target="https://www.transfermarkt.com/spielbericht/index/spielbericht/4547639" TargetMode="External"/><Relationship Id="rId283" Type="http://schemas.openxmlformats.org/officeDocument/2006/relationships/hyperlink" Target="https://www.transfermarkt.com/spielbericht/index/spielbericht/3252237" TargetMode="External"/><Relationship Id="rId289" Type="http://schemas.openxmlformats.org/officeDocument/2006/relationships/hyperlink" Target="https://www.transfermarkt.com/spielbericht/index/spielbericht/3651142" TargetMode="External"/><Relationship Id="rId288" Type="http://schemas.openxmlformats.org/officeDocument/2006/relationships/hyperlink" Target="https://www.transfermarkt.com/spielbericht/index/spielbericht/3911765" TargetMode="External"/><Relationship Id="rId287" Type="http://schemas.openxmlformats.org/officeDocument/2006/relationships/hyperlink" Target="https://www.transfermarkt.com/spielbericht/index/spielbericht/2917363" TargetMode="External"/><Relationship Id="rId282" Type="http://schemas.openxmlformats.org/officeDocument/2006/relationships/hyperlink" Target="https://www.transfermarkt.com/spielbericht/index/spielbericht/3611490" TargetMode="External"/><Relationship Id="rId281" Type="http://schemas.openxmlformats.org/officeDocument/2006/relationships/hyperlink" Target="https://www.transfermarkt.com/spielbericht/index/spielbericht/3018933" TargetMode="External"/><Relationship Id="rId280" Type="http://schemas.openxmlformats.org/officeDocument/2006/relationships/hyperlink" Target="https://www.transfermarkt.com/spielbericht/index/spielbericht/3886451" TargetMode="External"/><Relationship Id="rId275" Type="http://schemas.openxmlformats.org/officeDocument/2006/relationships/hyperlink" Target="https://www.transfermarkt.com/spielbericht/index/spielbericht/2917443" TargetMode="External"/><Relationship Id="rId274" Type="http://schemas.openxmlformats.org/officeDocument/2006/relationships/hyperlink" Target="https://www.transfermarkt.com/spielbericht/index/spielbericht/3252204" TargetMode="External"/><Relationship Id="rId273" Type="http://schemas.openxmlformats.org/officeDocument/2006/relationships/hyperlink" Target="https://www.transfermarkt.com/spielbericht/index/spielbericht/3911788" TargetMode="External"/><Relationship Id="rId272" Type="http://schemas.openxmlformats.org/officeDocument/2006/relationships/hyperlink" Target="https://www.transfermarkt.com/spielbericht/index/spielbericht/4407720" TargetMode="External"/><Relationship Id="rId279" Type="http://schemas.openxmlformats.org/officeDocument/2006/relationships/hyperlink" Target="https://www.transfermarkt.com/spielbericht/index/spielbericht/4174067" TargetMode="External"/><Relationship Id="rId278" Type="http://schemas.openxmlformats.org/officeDocument/2006/relationships/hyperlink" Target="https://www.transfermarkt.com/spielbericht/index/spielbericht/3177025" TargetMode="External"/><Relationship Id="rId277" Type="http://schemas.openxmlformats.org/officeDocument/2006/relationships/hyperlink" Target="https://www.transfermarkt.com/spielbericht/index/spielbericht/3098014" TargetMode="External"/><Relationship Id="rId276" Type="http://schemas.openxmlformats.org/officeDocument/2006/relationships/hyperlink" Target="https://www.transfermarkt.com/spielbericht/index/spielbericht/4547654" TargetMode="External"/><Relationship Id="rId228" Type="http://schemas.openxmlformats.org/officeDocument/2006/relationships/hyperlink" Target="https://www.transfermarkt.com/spielbericht/index/spielbericht/3885848" TargetMode="External"/><Relationship Id="rId227" Type="http://schemas.openxmlformats.org/officeDocument/2006/relationships/hyperlink" Target="https://www.transfermarkt.com/spielbericht/index/spielbericht/3886702" TargetMode="External"/><Relationship Id="rId226" Type="http://schemas.openxmlformats.org/officeDocument/2006/relationships/hyperlink" Target="https://www.transfermarkt.com/spielbericht/index/spielbericht/2899747" TargetMode="External"/><Relationship Id="rId225" Type="http://schemas.openxmlformats.org/officeDocument/2006/relationships/hyperlink" Target="https://www.transfermarkt.com/spielbericht/index/spielbericht/4113091" TargetMode="External"/><Relationship Id="rId229" Type="http://schemas.openxmlformats.org/officeDocument/2006/relationships/hyperlink" Target="https://www.transfermarkt.com/spielbericht/index/spielbericht/4645577" TargetMode="External"/><Relationship Id="rId220" Type="http://schemas.openxmlformats.org/officeDocument/2006/relationships/hyperlink" Target="https://www.transfermarkt.com/spielbericht/index/spielbericht/4112902" TargetMode="External"/><Relationship Id="rId224" Type="http://schemas.openxmlformats.org/officeDocument/2006/relationships/hyperlink" Target="https://www.transfermarkt.com/spielbericht/index/spielbericht/3610371" TargetMode="External"/><Relationship Id="rId223" Type="http://schemas.openxmlformats.org/officeDocument/2006/relationships/hyperlink" Target="https://www.transfermarkt.com/spielbericht/index/spielbericht/3080777" TargetMode="External"/><Relationship Id="rId222" Type="http://schemas.openxmlformats.org/officeDocument/2006/relationships/hyperlink" Target="https://www.transfermarkt.com/spielbericht/index/spielbericht/2899661" TargetMode="External"/><Relationship Id="rId221" Type="http://schemas.openxmlformats.org/officeDocument/2006/relationships/hyperlink" Target="https://www.transfermarkt.com/spielbericht/index/spielbericht/3605277" TargetMode="External"/><Relationship Id="rId217" Type="http://schemas.openxmlformats.org/officeDocument/2006/relationships/hyperlink" Target="https://www.transfermarkt.com/spielbericht/index/spielbericht/3208640" TargetMode="External"/><Relationship Id="rId216" Type="http://schemas.openxmlformats.org/officeDocument/2006/relationships/hyperlink" Target="https://www.transfermarkt.com/spielbericht/index/spielbericht/4407564" TargetMode="External"/><Relationship Id="rId215" Type="http://schemas.openxmlformats.org/officeDocument/2006/relationships/hyperlink" Target="https://www.transfermarkt.com/spielbericht/index/spielbericht/3605324" TargetMode="External"/><Relationship Id="rId214" Type="http://schemas.openxmlformats.org/officeDocument/2006/relationships/hyperlink" Target="https://www.transfermarkt.com/spielbericht/index/spielbericht/3610272" TargetMode="External"/><Relationship Id="rId219" Type="http://schemas.openxmlformats.org/officeDocument/2006/relationships/hyperlink" Target="https://www.transfermarkt.com/spielbericht/index/spielbericht/3886563" TargetMode="External"/><Relationship Id="rId218" Type="http://schemas.openxmlformats.org/officeDocument/2006/relationships/hyperlink" Target="https://www.transfermarkt.com/spielbericht/index/spielbericht/4407746" TargetMode="External"/><Relationship Id="rId213" Type="http://schemas.openxmlformats.org/officeDocument/2006/relationships/hyperlink" Target="https://www.transfermarkt.com/spielbericht/index/spielbericht/3886363" TargetMode="External"/><Relationship Id="rId212" Type="http://schemas.openxmlformats.org/officeDocument/2006/relationships/hyperlink" Target="https://www.transfermarkt.com/spielbericht/index/spielbericht/3079380" TargetMode="External"/><Relationship Id="rId211" Type="http://schemas.openxmlformats.org/officeDocument/2006/relationships/hyperlink" Target="https://www.transfermarkt.com/spielbericht/index/spielbericht/3886633" TargetMode="External"/><Relationship Id="rId210" Type="http://schemas.openxmlformats.org/officeDocument/2006/relationships/hyperlink" Target="https://www.transfermarkt.com/spielbericht/index/spielbericht/3610290" TargetMode="External"/><Relationship Id="rId249" Type="http://schemas.openxmlformats.org/officeDocument/2006/relationships/hyperlink" Target="https://www.transfermarkt.com/spielbericht/index/spielbericht/3956708" TargetMode="External"/><Relationship Id="rId248" Type="http://schemas.openxmlformats.org/officeDocument/2006/relationships/hyperlink" Target="https://www.transfermarkt.com/spielbericht/index/spielbericht/4407575" TargetMode="External"/><Relationship Id="rId247" Type="http://schemas.openxmlformats.org/officeDocument/2006/relationships/hyperlink" Target="https://www.transfermarkt.com/spielbericht/index/spielbericht/3773624" TargetMode="External"/><Relationship Id="rId242" Type="http://schemas.openxmlformats.org/officeDocument/2006/relationships/hyperlink" Target="https://www.transfermarkt.com/spielbericht/index/spielbericht/3773620" TargetMode="External"/><Relationship Id="rId241" Type="http://schemas.openxmlformats.org/officeDocument/2006/relationships/hyperlink" Target="https://www.transfermarkt.com/spielbericht/index/spielbericht/4540704" TargetMode="External"/><Relationship Id="rId240" Type="http://schemas.openxmlformats.org/officeDocument/2006/relationships/hyperlink" Target="https://www.transfermarkt.com/spielbericht/index/spielbericht/3312783" TargetMode="External"/><Relationship Id="rId246" Type="http://schemas.openxmlformats.org/officeDocument/2006/relationships/hyperlink" Target="https://www.transfermarkt.com/spielbericht/index/spielbericht/2978841" TargetMode="External"/><Relationship Id="rId245" Type="http://schemas.openxmlformats.org/officeDocument/2006/relationships/hyperlink" Target="https://www.transfermarkt.com/spielbericht/index/spielbericht/3757962" TargetMode="External"/><Relationship Id="rId244" Type="http://schemas.openxmlformats.org/officeDocument/2006/relationships/hyperlink" Target="https://www.transfermarkt.com/spielbericht/index/spielbericht/3142959" TargetMode="External"/><Relationship Id="rId243" Type="http://schemas.openxmlformats.org/officeDocument/2006/relationships/hyperlink" Target="https://www.transfermarkt.com/spielbericht/index/spielbericht/2993262" TargetMode="External"/><Relationship Id="rId239" Type="http://schemas.openxmlformats.org/officeDocument/2006/relationships/hyperlink" Target="https://www.transfermarkt.com/spielbericht/index/spielbericht/4112860" TargetMode="External"/><Relationship Id="rId238" Type="http://schemas.openxmlformats.org/officeDocument/2006/relationships/hyperlink" Target="https://www.transfermarkt.com/spielbericht/index/spielbericht/2982129" TargetMode="External"/><Relationship Id="rId237" Type="http://schemas.openxmlformats.org/officeDocument/2006/relationships/hyperlink" Target="https://www.transfermarkt.com/spielbericht/index/spielbericht/4017421" TargetMode="External"/><Relationship Id="rId236" Type="http://schemas.openxmlformats.org/officeDocument/2006/relationships/hyperlink" Target="https://www.transfermarkt.com/spielbericht/index/spielbericht/2899803" TargetMode="External"/><Relationship Id="rId231" Type="http://schemas.openxmlformats.org/officeDocument/2006/relationships/hyperlink" Target="https://www.transfermarkt.com/spielbericht/index/spielbericht/2899867" TargetMode="External"/><Relationship Id="rId230" Type="http://schemas.openxmlformats.org/officeDocument/2006/relationships/hyperlink" Target="https://www.transfermarkt.com/spielbericht/index/spielbericht/3079431" TargetMode="External"/><Relationship Id="rId235" Type="http://schemas.openxmlformats.org/officeDocument/2006/relationships/hyperlink" Target="https://www.transfermarkt.com/spielbericht/index/spielbericht/2993260" TargetMode="External"/><Relationship Id="rId234" Type="http://schemas.openxmlformats.org/officeDocument/2006/relationships/hyperlink" Target="https://www.transfermarkt.com/spielbericht/index/spielbericht/4645534" TargetMode="External"/><Relationship Id="rId233" Type="http://schemas.openxmlformats.org/officeDocument/2006/relationships/hyperlink" Target="https://www.transfermarkt.com/spielbericht/index/spielbericht/4407555" TargetMode="External"/><Relationship Id="rId232" Type="http://schemas.openxmlformats.org/officeDocument/2006/relationships/hyperlink" Target="https://www.transfermarkt.com/spielbericht/index/spielbericht/3605059" TargetMode="External"/><Relationship Id="rId206" Type="http://schemas.openxmlformats.org/officeDocument/2006/relationships/hyperlink" Target="https://www.transfermarkt.com/spielbericht/index/spielbericht/3886502" TargetMode="External"/><Relationship Id="rId205" Type="http://schemas.openxmlformats.org/officeDocument/2006/relationships/hyperlink" Target="https://www.transfermarkt.com/spielbericht/index/spielbericht/4645486" TargetMode="External"/><Relationship Id="rId204" Type="http://schemas.openxmlformats.org/officeDocument/2006/relationships/hyperlink" Target="https://www.transfermarkt.com/spielbericht/index/spielbericht/3844598" TargetMode="External"/><Relationship Id="rId203" Type="http://schemas.openxmlformats.org/officeDocument/2006/relationships/hyperlink" Target="https://www.transfermarkt.com/spielbericht/index/spielbericht/4112930" TargetMode="External"/><Relationship Id="rId209" Type="http://schemas.openxmlformats.org/officeDocument/2006/relationships/hyperlink" Target="https://www.transfermarkt.com/spielbericht/index/spielbericht/4113120" TargetMode="External"/><Relationship Id="rId208" Type="http://schemas.openxmlformats.org/officeDocument/2006/relationships/hyperlink" Target="https://www.transfermarkt.com/spielbericht/index/spielbericht/4405334" TargetMode="External"/><Relationship Id="rId207" Type="http://schemas.openxmlformats.org/officeDocument/2006/relationships/hyperlink" Target="https://www.transfermarkt.com/spielbericht/index/spielbericht/3611510" TargetMode="External"/><Relationship Id="rId202" Type="http://schemas.openxmlformats.org/officeDocument/2006/relationships/hyperlink" Target="https://www.transfermarkt.com/spielbericht/index/spielbericht/4112831" TargetMode="External"/><Relationship Id="rId201" Type="http://schemas.openxmlformats.org/officeDocument/2006/relationships/hyperlink" Target="https://www.transfermarkt.com/spielbericht/index/spielbericht/2899738" TargetMode="External"/><Relationship Id="rId200" Type="http://schemas.openxmlformats.org/officeDocument/2006/relationships/hyperlink" Target="https://www.transfermarkt.com/spielbericht/index/spielbericht/44053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4" width="19.11"/>
    <col customWidth="1" min="5" max="5" width="14.44"/>
    <col customWidth="1" min="6" max="7" width="10.56"/>
    <col customWidth="1" min="8" max="8" width="17.44"/>
    <col customWidth="1" min="9" max="17" width="10.56"/>
    <col customWidth="1" min="18" max="18" width="14.22"/>
    <col customWidth="1" min="19" max="27" width="10.56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14</v>
      </c>
      <c r="Q1" s="8" t="s">
        <v>15</v>
      </c>
      <c r="R1" s="6" t="s">
        <v>16</v>
      </c>
    </row>
    <row r="2" ht="15.75" customHeight="1">
      <c r="A2" s="6" t="s">
        <v>17</v>
      </c>
      <c r="B2" s="9">
        <v>45918.0</v>
      </c>
      <c r="C2" s="10" t="s">
        <v>18</v>
      </c>
      <c r="D2" s="9">
        <v>45918.0</v>
      </c>
      <c r="E2" s="11">
        <v>0.875</v>
      </c>
      <c r="F2" s="12" t="s">
        <v>19</v>
      </c>
      <c r="G2" s="13"/>
      <c r="H2" s="6" t="s">
        <v>20</v>
      </c>
      <c r="I2" s="14" t="s">
        <v>21</v>
      </c>
      <c r="J2" s="15">
        <v>52084.0</v>
      </c>
      <c r="K2" s="16">
        <v>0.043055555555555555</v>
      </c>
      <c r="L2" s="17" t="s">
        <v>22</v>
      </c>
      <c r="M2" s="1">
        <f t="shared" ref="M2:M68" si="1">+HOUR(K2)</f>
        <v>1</v>
      </c>
      <c r="N2" s="1">
        <f t="shared" ref="N2:N68" si="2">+MINUTE(K2)</f>
        <v>2</v>
      </c>
      <c r="O2" s="1" t="str">
        <f t="shared" ref="O2:O556" si="3">+CONCAT(M2,N2)</f>
        <v>12</v>
      </c>
      <c r="P2" s="1" t="str">
        <f t="shared" ref="P2:P556" si="4">+IF(OR(AND(N2&gt;M2,F2="A"),AND(M2&gt;N2,F2="H")),"WIN",IF((OR(AND(N2=M2,F2="A"),AND(M2=N2,F2="H"))),"DRAW","LOSS"))</f>
        <v>WIN</v>
      </c>
      <c r="Q2" s="1">
        <f t="shared" ref="Q2:Q382" si="5">+IF(P2="WIN",1,IF(P2="DRAW",0,-1))</f>
        <v>1</v>
      </c>
    </row>
    <row r="3" ht="15.75" customHeight="1">
      <c r="A3" s="6" t="s">
        <v>17</v>
      </c>
      <c r="B3" s="9">
        <v>45931.0</v>
      </c>
      <c r="C3" s="10" t="s">
        <v>23</v>
      </c>
      <c r="D3" s="9">
        <v>45931.0</v>
      </c>
      <c r="E3" s="11">
        <v>0.875</v>
      </c>
      <c r="F3" s="12" t="s">
        <v>24</v>
      </c>
      <c r="G3" s="13"/>
      <c r="H3" s="6" t="s">
        <v>25</v>
      </c>
      <c r="I3" s="14" t="s">
        <v>21</v>
      </c>
      <c r="J3" s="15">
        <v>50207.0</v>
      </c>
      <c r="K3" s="16">
        <v>0.043055555555555555</v>
      </c>
      <c r="L3" s="17" t="s">
        <v>22</v>
      </c>
      <c r="M3" s="1">
        <f t="shared" si="1"/>
        <v>1</v>
      </c>
      <c r="N3" s="1">
        <f t="shared" si="2"/>
        <v>2</v>
      </c>
      <c r="O3" s="1" t="str">
        <f t="shared" si="3"/>
        <v>12</v>
      </c>
      <c r="P3" s="1" t="str">
        <f t="shared" si="4"/>
        <v>LOSS</v>
      </c>
      <c r="Q3" s="1">
        <f t="shared" si="5"/>
        <v>-1</v>
      </c>
    </row>
    <row r="4" ht="15.75" customHeight="1">
      <c r="A4" s="6" t="s">
        <v>17</v>
      </c>
      <c r="B4" s="9">
        <v>45951.0</v>
      </c>
      <c r="C4" s="10" t="s">
        <v>26</v>
      </c>
      <c r="D4" s="9">
        <v>45951.0</v>
      </c>
      <c r="E4" s="11">
        <v>0.78125</v>
      </c>
      <c r="F4" s="12" t="s">
        <v>24</v>
      </c>
      <c r="G4" s="13"/>
      <c r="H4" s="6" t="s">
        <v>27</v>
      </c>
      <c r="I4" s="14" t="s">
        <v>21</v>
      </c>
      <c r="J4" s="15">
        <v>46264.0</v>
      </c>
      <c r="K4" s="16">
        <v>0.25069444444444444</v>
      </c>
      <c r="L4" s="17" t="s">
        <v>22</v>
      </c>
      <c r="M4" s="1">
        <f t="shared" si="1"/>
        <v>6</v>
      </c>
      <c r="N4" s="1">
        <f t="shared" si="2"/>
        <v>1</v>
      </c>
      <c r="O4" s="1" t="str">
        <f t="shared" si="3"/>
        <v>61</v>
      </c>
      <c r="P4" s="1" t="str">
        <f t="shared" si="4"/>
        <v>WIN</v>
      </c>
      <c r="Q4" s="1">
        <f t="shared" si="5"/>
        <v>1</v>
      </c>
    </row>
    <row r="5" ht="15.75" customHeight="1">
      <c r="A5" s="6" t="s">
        <v>17</v>
      </c>
      <c r="B5" s="9">
        <v>45966.0</v>
      </c>
      <c r="C5" s="10" t="s">
        <v>26</v>
      </c>
      <c r="D5" s="9">
        <v>45966.0</v>
      </c>
      <c r="E5" s="11">
        <v>0.875</v>
      </c>
      <c r="F5" s="12" t="s">
        <v>19</v>
      </c>
      <c r="G5" s="13"/>
      <c r="H5" s="6" t="s">
        <v>28</v>
      </c>
      <c r="I5" s="14" t="s">
        <v>21</v>
      </c>
      <c r="J5" s="15">
        <v>27037.0</v>
      </c>
      <c r="K5" s="16">
        <v>0.12708333333333333</v>
      </c>
      <c r="L5" s="17" t="s">
        <v>22</v>
      </c>
      <c r="M5" s="1">
        <f t="shared" si="1"/>
        <v>3</v>
      </c>
      <c r="N5" s="1">
        <f t="shared" si="2"/>
        <v>3</v>
      </c>
      <c r="O5" s="1" t="str">
        <f t="shared" si="3"/>
        <v>33</v>
      </c>
      <c r="P5" s="1" t="str">
        <f t="shared" si="4"/>
        <v>DRAW</v>
      </c>
      <c r="Q5" s="1">
        <f t="shared" si="5"/>
        <v>0</v>
      </c>
    </row>
    <row r="6" ht="15.75" customHeight="1">
      <c r="A6" s="6">
        <v>8.0</v>
      </c>
      <c r="B6" s="18" t="s">
        <v>29</v>
      </c>
      <c r="C6" s="10" t="s">
        <v>29</v>
      </c>
      <c r="D6" s="19">
        <v>45935.0</v>
      </c>
      <c r="E6" s="11">
        <v>0.6770833333333334</v>
      </c>
      <c r="F6" s="12" t="s">
        <v>19</v>
      </c>
      <c r="G6" s="20" t="s">
        <v>30</v>
      </c>
      <c r="H6" s="6" t="s">
        <v>31</v>
      </c>
      <c r="I6" s="14" t="s">
        <v>21</v>
      </c>
      <c r="J6" s="15">
        <v>41040.0</v>
      </c>
      <c r="K6" s="16">
        <v>0.1673611111111111</v>
      </c>
      <c r="L6" s="17" t="s">
        <v>22</v>
      </c>
      <c r="M6" s="1">
        <f t="shared" si="1"/>
        <v>4</v>
      </c>
      <c r="N6" s="1">
        <f t="shared" si="2"/>
        <v>1</v>
      </c>
      <c r="O6" s="1" t="str">
        <f t="shared" si="3"/>
        <v>41</v>
      </c>
      <c r="P6" s="1" t="str">
        <f t="shared" si="4"/>
        <v>LOSS</v>
      </c>
      <c r="Q6" s="1">
        <f t="shared" si="5"/>
        <v>-1</v>
      </c>
    </row>
    <row r="7" ht="15.75" customHeight="1">
      <c r="A7" s="6">
        <v>9.0</v>
      </c>
      <c r="B7" s="18" t="s">
        <v>32</v>
      </c>
      <c r="C7" s="10" t="s">
        <v>32</v>
      </c>
      <c r="D7" s="21">
        <v>45948.0</v>
      </c>
      <c r="E7" s="11">
        <v>0.6770833333333334</v>
      </c>
      <c r="F7" s="12" t="s">
        <v>24</v>
      </c>
      <c r="G7" s="20" t="s">
        <v>33</v>
      </c>
      <c r="H7" s="6" t="s">
        <v>34</v>
      </c>
      <c r="I7" s="14" t="s">
        <v>35</v>
      </c>
      <c r="J7" s="15">
        <v>43172.0</v>
      </c>
      <c r="K7" s="16">
        <v>0.08402777777777778</v>
      </c>
      <c r="L7" s="17" t="s">
        <v>22</v>
      </c>
      <c r="M7" s="1">
        <f t="shared" si="1"/>
        <v>2</v>
      </c>
      <c r="N7" s="1">
        <f t="shared" si="2"/>
        <v>1</v>
      </c>
      <c r="O7" s="1" t="str">
        <f t="shared" si="3"/>
        <v>21</v>
      </c>
      <c r="P7" s="1" t="str">
        <f t="shared" si="4"/>
        <v>WIN</v>
      </c>
      <c r="Q7" s="1">
        <f t="shared" si="5"/>
        <v>1</v>
      </c>
    </row>
    <row r="8" ht="15.75" customHeight="1">
      <c r="A8" s="6">
        <v>10.0</v>
      </c>
      <c r="B8" s="18" t="s">
        <v>29</v>
      </c>
      <c r="C8" s="10" t="s">
        <v>29</v>
      </c>
      <c r="D8" s="21">
        <v>45956.0</v>
      </c>
      <c r="E8" s="11">
        <v>0.6770833333333334</v>
      </c>
      <c r="F8" s="12" t="s">
        <v>19</v>
      </c>
      <c r="G8" s="20" t="s">
        <v>33</v>
      </c>
      <c r="H8" s="6" t="s">
        <v>36</v>
      </c>
      <c r="I8" s="14" t="s">
        <v>21</v>
      </c>
      <c r="J8" s="15">
        <v>78107.0</v>
      </c>
      <c r="K8" s="16">
        <v>0.08402777777777778</v>
      </c>
      <c r="L8" s="17" t="s">
        <v>22</v>
      </c>
      <c r="M8" s="1">
        <f t="shared" si="1"/>
        <v>2</v>
      </c>
      <c r="N8" s="1">
        <f t="shared" si="2"/>
        <v>1</v>
      </c>
      <c r="O8" s="1" t="str">
        <f t="shared" si="3"/>
        <v>21</v>
      </c>
      <c r="P8" s="1" t="str">
        <f t="shared" si="4"/>
        <v>LOSS</v>
      </c>
      <c r="Q8" s="1">
        <f t="shared" si="5"/>
        <v>-1</v>
      </c>
    </row>
    <row r="9" ht="15.75" customHeight="1">
      <c r="A9" s="6">
        <v>11.0</v>
      </c>
      <c r="B9" s="18" t="s">
        <v>29</v>
      </c>
      <c r="C9" s="10" t="s">
        <v>29</v>
      </c>
      <c r="D9" s="19">
        <v>45963.0</v>
      </c>
      <c r="E9" s="11">
        <v>0.7708333333333334</v>
      </c>
      <c r="F9" s="12" t="s">
        <v>24</v>
      </c>
      <c r="G9" s="20" t="s">
        <v>33</v>
      </c>
      <c r="H9" s="6" t="s">
        <v>37</v>
      </c>
      <c r="I9" s="14" t="s">
        <v>21</v>
      </c>
      <c r="J9" s="15">
        <v>44370.0</v>
      </c>
      <c r="K9" s="16">
        <v>0.12569444444444444</v>
      </c>
      <c r="L9" s="17" t="s">
        <v>22</v>
      </c>
      <c r="M9" s="1">
        <f t="shared" si="1"/>
        <v>3</v>
      </c>
      <c r="N9" s="1">
        <f t="shared" si="2"/>
        <v>1</v>
      </c>
      <c r="O9" s="1" t="str">
        <f t="shared" si="3"/>
        <v>31</v>
      </c>
      <c r="P9" s="1" t="str">
        <f t="shared" si="4"/>
        <v>WIN</v>
      </c>
      <c r="Q9" s="1">
        <f t="shared" si="5"/>
        <v>1</v>
      </c>
    </row>
    <row r="10" ht="15.75" customHeight="1">
      <c r="A10" s="6">
        <v>12.0</v>
      </c>
      <c r="B10" s="18" t="s">
        <v>29</v>
      </c>
      <c r="C10" s="10" t="s">
        <v>29</v>
      </c>
      <c r="D10" s="19">
        <v>45970.0</v>
      </c>
      <c r="E10" s="22">
        <v>0.875</v>
      </c>
      <c r="F10" s="12" t="s">
        <v>19</v>
      </c>
      <c r="G10" s="20" t="s">
        <v>33</v>
      </c>
      <c r="H10" s="6" t="s">
        <v>38</v>
      </c>
      <c r="I10" s="14" t="s">
        <v>35</v>
      </c>
      <c r="J10" s="15">
        <v>21887.0</v>
      </c>
      <c r="K10" s="16">
        <v>0.08611111111111111</v>
      </c>
      <c r="L10" s="17" t="s">
        <v>22</v>
      </c>
      <c r="M10" s="1">
        <f t="shared" si="1"/>
        <v>2</v>
      </c>
      <c r="N10" s="1">
        <f t="shared" si="2"/>
        <v>4</v>
      </c>
      <c r="O10" s="1" t="str">
        <f t="shared" si="3"/>
        <v>24</v>
      </c>
      <c r="P10" s="1" t="str">
        <f t="shared" si="4"/>
        <v>WIN</v>
      </c>
      <c r="Q10" s="1">
        <f t="shared" si="5"/>
        <v>1</v>
      </c>
    </row>
    <row r="11" ht="15.75" customHeight="1">
      <c r="A11" s="1">
        <v>1.0</v>
      </c>
      <c r="B11" s="18" t="s">
        <v>32</v>
      </c>
      <c r="C11" s="10" t="s">
        <v>32</v>
      </c>
      <c r="D11" s="19">
        <v>45885.0</v>
      </c>
      <c r="E11" s="22">
        <v>0.8125</v>
      </c>
      <c r="F11" s="23" t="s">
        <v>19</v>
      </c>
      <c r="G11" s="13" t="s">
        <v>30</v>
      </c>
      <c r="H11" s="1" t="s">
        <v>39</v>
      </c>
      <c r="I11" s="24" t="s">
        <v>21</v>
      </c>
      <c r="J11" s="25">
        <v>23318.0</v>
      </c>
      <c r="K11" s="26">
        <v>0.0020833333333333333</v>
      </c>
      <c r="L11" s="17" t="s">
        <v>22</v>
      </c>
      <c r="M11" s="1">
        <f t="shared" si="1"/>
        <v>0</v>
      </c>
      <c r="N11" s="1">
        <f t="shared" si="2"/>
        <v>3</v>
      </c>
      <c r="O11" s="1" t="str">
        <f t="shared" si="3"/>
        <v>03</v>
      </c>
      <c r="P11" s="1" t="str">
        <f t="shared" si="4"/>
        <v>WIN</v>
      </c>
      <c r="Q11" s="1">
        <f t="shared" si="5"/>
        <v>1</v>
      </c>
    </row>
    <row r="12" ht="15.75" customHeight="1">
      <c r="A12" s="1">
        <v>2.0</v>
      </c>
      <c r="B12" s="18" t="s">
        <v>32</v>
      </c>
      <c r="C12" s="10" t="s">
        <v>32</v>
      </c>
      <c r="D12" s="19">
        <v>45892.0</v>
      </c>
      <c r="E12" s="22">
        <v>0.8958333333333334</v>
      </c>
      <c r="F12" s="23" t="s">
        <v>19</v>
      </c>
      <c r="G12" s="13" t="s">
        <v>30</v>
      </c>
      <c r="H12" s="1" t="s">
        <v>40</v>
      </c>
      <c r="I12" s="24" t="s">
        <v>21</v>
      </c>
      <c r="J12" s="25">
        <v>23415.0</v>
      </c>
      <c r="K12" s="26">
        <v>0.08541666666666667</v>
      </c>
      <c r="L12" s="17" t="s">
        <v>22</v>
      </c>
      <c r="M12" s="1">
        <f t="shared" si="1"/>
        <v>2</v>
      </c>
      <c r="N12" s="1">
        <f t="shared" si="2"/>
        <v>3</v>
      </c>
      <c r="O12" s="1" t="str">
        <f t="shared" si="3"/>
        <v>23</v>
      </c>
      <c r="P12" s="1" t="str">
        <f t="shared" si="4"/>
        <v>WIN</v>
      </c>
      <c r="Q12" s="1">
        <f t="shared" si="5"/>
        <v>1</v>
      </c>
    </row>
    <row r="13" ht="15.75" customHeight="1">
      <c r="A13" s="1">
        <v>3.0</v>
      </c>
      <c r="B13" s="18" t="s">
        <v>29</v>
      </c>
      <c r="C13" s="10" t="s">
        <v>29</v>
      </c>
      <c r="D13" s="19">
        <v>45900.0</v>
      </c>
      <c r="E13" s="22">
        <v>0.8958333333333334</v>
      </c>
      <c r="F13" s="23" t="s">
        <v>19</v>
      </c>
      <c r="G13" s="13" t="s">
        <v>33</v>
      </c>
      <c r="H13" s="1" t="s">
        <v>41</v>
      </c>
      <c r="I13" s="24" t="s">
        <v>21</v>
      </c>
      <c r="J13" s="25">
        <v>14438.0</v>
      </c>
      <c r="K13" s="26">
        <v>0.04236111111111111</v>
      </c>
      <c r="L13" s="17" t="s">
        <v>22</v>
      </c>
      <c r="M13" s="1">
        <f t="shared" si="1"/>
        <v>1</v>
      </c>
      <c r="N13" s="1">
        <f t="shared" si="2"/>
        <v>1</v>
      </c>
      <c r="O13" s="1" t="str">
        <f t="shared" si="3"/>
        <v>11</v>
      </c>
      <c r="P13" s="1" t="str">
        <f t="shared" si="4"/>
        <v>DRAW</v>
      </c>
      <c r="Q13" s="1">
        <f t="shared" si="5"/>
        <v>0</v>
      </c>
    </row>
    <row r="14" ht="15.75" customHeight="1">
      <c r="A14" s="1">
        <v>4.0</v>
      </c>
      <c r="B14" s="18" t="s">
        <v>42</v>
      </c>
      <c r="C14" s="10" t="s">
        <v>29</v>
      </c>
      <c r="D14" s="19">
        <v>45914.0</v>
      </c>
      <c r="E14" s="22">
        <v>0.875</v>
      </c>
      <c r="F14" s="23" t="s">
        <v>24</v>
      </c>
      <c r="G14" s="13" t="s">
        <v>43</v>
      </c>
      <c r="H14" s="1" t="s">
        <v>44</v>
      </c>
      <c r="I14" s="24" t="s">
        <v>21</v>
      </c>
      <c r="J14" s="25">
        <v>5862.0</v>
      </c>
      <c r="K14" s="26">
        <v>0.25</v>
      </c>
      <c r="L14" s="17" t="s">
        <v>22</v>
      </c>
      <c r="M14" s="1">
        <f t="shared" si="1"/>
        <v>6</v>
      </c>
      <c r="N14" s="1">
        <f t="shared" si="2"/>
        <v>0</v>
      </c>
      <c r="O14" s="1" t="str">
        <f t="shared" si="3"/>
        <v>60</v>
      </c>
      <c r="P14" s="1" t="str">
        <f t="shared" si="4"/>
        <v>WIN</v>
      </c>
      <c r="Q14" s="1">
        <f t="shared" si="5"/>
        <v>1</v>
      </c>
    </row>
    <row r="15" ht="15.75" customHeight="1">
      <c r="A15" s="1">
        <v>5.0</v>
      </c>
      <c r="B15" s="18" t="s">
        <v>45</v>
      </c>
      <c r="C15" s="10" t="s">
        <v>29</v>
      </c>
      <c r="D15" s="19">
        <v>45921.0</v>
      </c>
      <c r="E15" s="22">
        <v>0.875</v>
      </c>
      <c r="F15" s="23" t="s">
        <v>24</v>
      </c>
      <c r="G15" s="13" t="s">
        <v>33</v>
      </c>
      <c r="H15" s="1" t="s">
        <v>46</v>
      </c>
      <c r="I15" s="24" t="s">
        <v>21</v>
      </c>
      <c r="J15" s="25">
        <v>5711.0</v>
      </c>
      <c r="K15" s="26">
        <v>0.125</v>
      </c>
      <c r="L15" s="17" t="s">
        <v>22</v>
      </c>
      <c r="M15" s="1">
        <f t="shared" si="1"/>
        <v>3</v>
      </c>
      <c r="N15" s="1">
        <f t="shared" si="2"/>
        <v>0</v>
      </c>
      <c r="O15" s="1" t="str">
        <f t="shared" si="3"/>
        <v>30</v>
      </c>
      <c r="P15" s="1" t="str">
        <f t="shared" si="4"/>
        <v>WIN</v>
      </c>
      <c r="Q15" s="1">
        <f t="shared" si="5"/>
        <v>1</v>
      </c>
    </row>
    <row r="16" ht="15.75" customHeight="1">
      <c r="A16" s="1">
        <v>6.0</v>
      </c>
      <c r="B16" s="18" t="s">
        <v>47</v>
      </c>
      <c r="C16" s="10" t="s">
        <v>18</v>
      </c>
      <c r="D16" s="19">
        <v>45925.0</v>
      </c>
      <c r="E16" s="22">
        <v>0.8958333333333334</v>
      </c>
      <c r="F16" s="23" t="s">
        <v>19</v>
      </c>
      <c r="G16" s="13" t="s">
        <v>33</v>
      </c>
      <c r="H16" s="1" t="s">
        <v>48</v>
      </c>
      <c r="I16" s="24" t="s">
        <v>21</v>
      </c>
      <c r="J16" s="25">
        <v>29850.0</v>
      </c>
      <c r="K16" s="26">
        <v>0.04375</v>
      </c>
      <c r="L16" s="17" t="s">
        <v>22</v>
      </c>
      <c r="M16" s="1">
        <f t="shared" si="1"/>
        <v>1</v>
      </c>
      <c r="N16" s="1">
        <f t="shared" si="2"/>
        <v>3</v>
      </c>
      <c r="O16" s="1" t="str">
        <f t="shared" si="3"/>
        <v>13</v>
      </c>
      <c r="P16" s="1" t="str">
        <f t="shared" si="4"/>
        <v>WIN</v>
      </c>
      <c r="Q16" s="1">
        <f t="shared" si="5"/>
        <v>1</v>
      </c>
    </row>
    <row r="17" ht="15.75" customHeight="1">
      <c r="A17" s="1">
        <v>7.0</v>
      </c>
      <c r="B17" s="18" t="s">
        <v>49</v>
      </c>
      <c r="C17" s="10" t="s">
        <v>29</v>
      </c>
      <c r="D17" s="19">
        <v>45928.0</v>
      </c>
      <c r="E17" s="22">
        <v>0.7708333333333334</v>
      </c>
      <c r="F17" s="23" t="s">
        <v>24</v>
      </c>
      <c r="G17" s="13" t="s">
        <v>33</v>
      </c>
      <c r="H17" s="1" t="s">
        <v>50</v>
      </c>
      <c r="I17" s="24" t="s">
        <v>21</v>
      </c>
      <c r="J17" s="25">
        <v>50103.0</v>
      </c>
      <c r="K17" s="26">
        <v>0.08402777777777778</v>
      </c>
      <c r="L17" s="17" t="s">
        <v>22</v>
      </c>
      <c r="M17" s="1">
        <f t="shared" si="1"/>
        <v>2</v>
      </c>
      <c r="N17" s="1">
        <f t="shared" si="2"/>
        <v>1</v>
      </c>
      <c r="O17" s="1" t="str">
        <f t="shared" si="3"/>
        <v>21</v>
      </c>
      <c r="P17" s="1" t="str">
        <f t="shared" si="4"/>
        <v>WIN</v>
      </c>
      <c r="Q17" s="1">
        <f t="shared" si="5"/>
        <v>1</v>
      </c>
    </row>
    <row r="18" ht="15.75" customHeight="1">
      <c r="A18" s="1">
        <v>1.0</v>
      </c>
      <c r="B18" s="18" t="s">
        <v>51</v>
      </c>
      <c r="C18" s="10" t="s">
        <v>32</v>
      </c>
      <c r="D18" s="19">
        <v>45521.0</v>
      </c>
      <c r="E18" s="22">
        <v>0.8958333333333334</v>
      </c>
      <c r="F18" s="23" t="s">
        <v>19</v>
      </c>
      <c r="G18" s="13" t="s">
        <v>30</v>
      </c>
      <c r="H18" s="1" t="s">
        <v>52</v>
      </c>
      <c r="I18" s="24" t="s">
        <v>21</v>
      </c>
      <c r="J18" s="25">
        <v>46673.0</v>
      </c>
      <c r="K18" s="26">
        <v>0.043055555555555555</v>
      </c>
      <c r="L18" s="17" t="s">
        <v>53</v>
      </c>
      <c r="M18" s="1">
        <f t="shared" si="1"/>
        <v>1</v>
      </c>
      <c r="N18" s="1">
        <f t="shared" si="2"/>
        <v>2</v>
      </c>
      <c r="O18" s="1" t="str">
        <f t="shared" si="3"/>
        <v>12</v>
      </c>
      <c r="P18" s="1" t="str">
        <f t="shared" si="4"/>
        <v>WIN</v>
      </c>
      <c r="Q18" s="1">
        <f t="shared" si="5"/>
        <v>1</v>
      </c>
    </row>
    <row r="19" ht="15.75" customHeight="1">
      <c r="A19" s="1">
        <v>2.0</v>
      </c>
      <c r="B19" s="18" t="s">
        <v>54</v>
      </c>
      <c r="C19" s="10" t="s">
        <v>32</v>
      </c>
      <c r="D19" s="19">
        <v>45528.0</v>
      </c>
      <c r="E19" s="22">
        <v>0.7916666666666666</v>
      </c>
      <c r="F19" s="23" t="s">
        <v>24</v>
      </c>
      <c r="G19" s="13" t="s">
        <v>30</v>
      </c>
      <c r="H19" s="1" t="s">
        <v>55</v>
      </c>
      <c r="I19" s="24" t="s">
        <v>21</v>
      </c>
      <c r="J19" s="25">
        <v>46448.0</v>
      </c>
      <c r="K19" s="26">
        <v>0.08402777777777778</v>
      </c>
      <c r="L19" s="17" t="s">
        <v>53</v>
      </c>
      <c r="M19" s="1">
        <f t="shared" si="1"/>
        <v>2</v>
      </c>
      <c r="N19" s="1">
        <f t="shared" si="2"/>
        <v>1</v>
      </c>
      <c r="O19" s="1" t="str">
        <f t="shared" si="3"/>
        <v>21</v>
      </c>
      <c r="P19" s="1" t="str">
        <f t="shared" si="4"/>
        <v>WIN</v>
      </c>
      <c r="Q19" s="1">
        <f t="shared" si="5"/>
        <v>1</v>
      </c>
    </row>
    <row r="20" ht="15.75" customHeight="1">
      <c r="A20" s="1">
        <v>3.0</v>
      </c>
      <c r="B20" s="18" t="s">
        <v>56</v>
      </c>
      <c r="C20" s="10" t="s">
        <v>26</v>
      </c>
      <c r="D20" s="19">
        <v>45531.0</v>
      </c>
      <c r="E20" s="22">
        <v>0.8958333333333334</v>
      </c>
      <c r="F20" s="23" t="s">
        <v>19</v>
      </c>
      <c r="G20" s="13" t="s">
        <v>33</v>
      </c>
      <c r="H20" s="1" t="s">
        <v>41</v>
      </c>
      <c r="I20" s="24" t="s">
        <v>21</v>
      </c>
      <c r="J20" s="25">
        <v>14031.0</v>
      </c>
      <c r="K20" s="26">
        <v>0.043055555555555555</v>
      </c>
      <c r="L20" s="17" t="s">
        <v>53</v>
      </c>
      <c r="M20" s="1">
        <f t="shared" si="1"/>
        <v>1</v>
      </c>
      <c r="N20" s="1">
        <f t="shared" si="2"/>
        <v>2</v>
      </c>
      <c r="O20" s="1" t="str">
        <f t="shared" si="3"/>
        <v>12</v>
      </c>
      <c r="P20" s="1" t="str">
        <f t="shared" si="4"/>
        <v>WIN</v>
      </c>
      <c r="Q20" s="1">
        <f t="shared" si="5"/>
        <v>1</v>
      </c>
    </row>
    <row r="21" ht="15.75" customHeight="1">
      <c r="A21" s="1">
        <v>4.0</v>
      </c>
      <c r="B21" s="18" t="s">
        <v>57</v>
      </c>
      <c r="C21" s="10" t="s">
        <v>32</v>
      </c>
      <c r="D21" s="19">
        <v>45535.0</v>
      </c>
      <c r="E21" s="22">
        <v>0.7083333333333334</v>
      </c>
      <c r="F21" s="23" t="s">
        <v>24</v>
      </c>
      <c r="G21" s="13" t="s">
        <v>30</v>
      </c>
      <c r="H21" s="1" t="s">
        <v>58</v>
      </c>
      <c r="I21" s="24" t="s">
        <v>59</v>
      </c>
      <c r="J21" s="25">
        <v>44359.0</v>
      </c>
      <c r="K21" s="26">
        <v>0.2916666666666667</v>
      </c>
      <c r="L21" s="17" t="s">
        <v>53</v>
      </c>
      <c r="M21" s="1">
        <f t="shared" si="1"/>
        <v>7</v>
      </c>
      <c r="N21" s="1">
        <f t="shared" si="2"/>
        <v>0</v>
      </c>
      <c r="O21" s="1" t="str">
        <f t="shared" si="3"/>
        <v>70</v>
      </c>
      <c r="P21" s="1" t="str">
        <f t="shared" si="4"/>
        <v>WIN</v>
      </c>
      <c r="Q21" s="1">
        <f t="shared" si="5"/>
        <v>1</v>
      </c>
    </row>
    <row r="22" ht="15.75" customHeight="1">
      <c r="A22" s="1">
        <v>5.0</v>
      </c>
      <c r="B22" s="18" t="s">
        <v>60</v>
      </c>
      <c r="C22" s="10" t="s">
        <v>29</v>
      </c>
      <c r="D22" s="19">
        <v>45550.0</v>
      </c>
      <c r="E22" s="22">
        <v>0.6770833333333334</v>
      </c>
      <c r="F22" s="23" t="s">
        <v>19</v>
      </c>
      <c r="G22" s="13" t="s">
        <v>30</v>
      </c>
      <c r="H22" s="1" t="s">
        <v>61</v>
      </c>
      <c r="I22" s="24" t="s">
        <v>21</v>
      </c>
      <c r="J22" s="25">
        <v>13891.0</v>
      </c>
      <c r="K22" s="26">
        <v>0.044444444444444446</v>
      </c>
      <c r="L22" s="17" t="s">
        <v>53</v>
      </c>
      <c r="M22" s="1">
        <f t="shared" si="1"/>
        <v>1</v>
      </c>
      <c r="N22" s="1">
        <f t="shared" si="2"/>
        <v>4</v>
      </c>
      <c r="O22" s="1" t="str">
        <f t="shared" si="3"/>
        <v>14</v>
      </c>
      <c r="P22" s="1" t="str">
        <f t="shared" si="4"/>
        <v>WIN</v>
      </c>
      <c r="Q22" s="1">
        <f t="shared" si="5"/>
        <v>1</v>
      </c>
    </row>
    <row r="23" ht="15.75" customHeight="1">
      <c r="A23" s="1">
        <v>6.0</v>
      </c>
      <c r="B23" s="18" t="s">
        <v>62</v>
      </c>
      <c r="C23" s="10" t="s">
        <v>29</v>
      </c>
      <c r="D23" s="19">
        <v>45557.0</v>
      </c>
      <c r="E23" s="22">
        <v>0.7708333333333334</v>
      </c>
      <c r="F23" s="23" t="s">
        <v>19</v>
      </c>
      <c r="G23" s="13" t="s">
        <v>30</v>
      </c>
      <c r="H23" s="1" t="s">
        <v>63</v>
      </c>
      <c r="I23" s="24" t="s">
        <v>59</v>
      </c>
      <c r="J23" s="25">
        <v>22048.0</v>
      </c>
      <c r="K23" s="26">
        <v>0.04513888888888889</v>
      </c>
      <c r="L23" s="17" t="s">
        <v>53</v>
      </c>
      <c r="M23" s="1">
        <f t="shared" si="1"/>
        <v>1</v>
      </c>
      <c r="N23" s="1">
        <f t="shared" si="2"/>
        <v>5</v>
      </c>
      <c r="O23" s="1" t="str">
        <f t="shared" si="3"/>
        <v>15</v>
      </c>
      <c r="P23" s="1" t="str">
        <f t="shared" si="4"/>
        <v>WIN</v>
      </c>
      <c r="Q23" s="1">
        <f t="shared" si="5"/>
        <v>1</v>
      </c>
    </row>
    <row r="24" ht="15.75" customHeight="1">
      <c r="A24" s="1">
        <v>7.0</v>
      </c>
      <c r="B24" s="18" t="s">
        <v>64</v>
      </c>
      <c r="C24" s="10" t="s">
        <v>23</v>
      </c>
      <c r="D24" s="19">
        <v>45560.0</v>
      </c>
      <c r="E24" s="22">
        <v>0.875</v>
      </c>
      <c r="F24" s="23" t="s">
        <v>24</v>
      </c>
      <c r="G24" s="13" t="s">
        <v>30</v>
      </c>
      <c r="H24" s="1" t="s">
        <v>65</v>
      </c>
      <c r="I24" s="24" t="s">
        <v>59</v>
      </c>
      <c r="J24" s="25">
        <v>44407.0</v>
      </c>
      <c r="K24" s="26">
        <v>0.041666666666666664</v>
      </c>
      <c r="L24" s="17" t="s">
        <v>53</v>
      </c>
      <c r="M24" s="1">
        <f t="shared" si="1"/>
        <v>1</v>
      </c>
      <c r="N24" s="1">
        <f t="shared" si="2"/>
        <v>0</v>
      </c>
      <c r="O24" s="1" t="str">
        <f t="shared" si="3"/>
        <v>10</v>
      </c>
      <c r="P24" s="1" t="str">
        <f t="shared" si="4"/>
        <v>WIN</v>
      </c>
      <c r="Q24" s="1">
        <f t="shared" si="5"/>
        <v>1</v>
      </c>
    </row>
    <row r="25" ht="15.75" customHeight="1">
      <c r="A25" s="1">
        <v>8.0</v>
      </c>
      <c r="B25" s="18" t="s">
        <v>66</v>
      </c>
      <c r="C25" s="10" t="s">
        <v>32</v>
      </c>
      <c r="D25" s="19">
        <v>45563.0</v>
      </c>
      <c r="E25" s="22">
        <v>0.875</v>
      </c>
      <c r="F25" s="23" t="s">
        <v>19</v>
      </c>
      <c r="G25" s="13" t="s">
        <v>30</v>
      </c>
      <c r="H25" s="1" t="s">
        <v>67</v>
      </c>
      <c r="I25" s="24" t="s">
        <v>59</v>
      </c>
      <c r="J25" s="25">
        <v>22322.0</v>
      </c>
      <c r="K25" s="26">
        <v>0.16805555555555557</v>
      </c>
      <c r="L25" s="17" t="s">
        <v>53</v>
      </c>
      <c r="M25" s="1">
        <f t="shared" si="1"/>
        <v>4</v>
      </c>
      <c r="N25" s="1">
        <f t="shared" si="2"/>
        <v>2</v>
      </c>
      <c r="O25" s="1" t="str">
        <f t="shared" si="3"/>
        <v>42</v>
      </c>
      <c r="P25" s="1" t="str">
        <f t="shared" si="4"/>
        <v>LOSS</v>
      </c>
      <c r="Q25" s="1">
        <f t="shared" si="5"/>
        <v>-1</v>
      </c>
    </row>
    <row r="26" ht="15.75" customHeight="1">
      <c r="A26" s="1">
        <v>9.0</v>
      </c>
      <c r="B26" s="18" t="s">
        <v>68</v>
      </c>
      <c r="C26" s="10" t="s">
        <v>29</v>
      </c>
      <c r="D26" s="19">
        <v>45571.0</v>
      </c>
      <c r="E26" s="22">
        <v>0.6770833333333334</v>
      </c>
      <c r="F26" s="23" t="s">
        <v>19</v>
      </c>
      <c r="G26" s="13" t="s">
        <v>30</v>
      </c>
      <c r="H26" s="1" t="s">
        <v>69</v>
      </c>
      <c r="I26" s="24" t="s">
        <v>21</v>
      </c>
      <c r="J26" s="25">
        <v>19468.0</v>
      </c>
      <c r="K26" s="26">
        <v>0.0020833333333333333</v>
      </c>
      <c r="L26" s="17" t="s">
        <v>53</v>
      </c>
      <c r="M26" s="1">
        <f t="shared" si="1"/>
        <v>0</v>
      </c>
      <c r="N26" s="1">
        <f t="shared" si="2"/>
        <v>3</v>
      </c>
      <c r="O26" s="1" t="str">
        <f t="shared" si="3"/>
        <v>03</v>
      </c>
      <c r="P26" s="1" t="str">
        <f t="shared" si="4"/>
        <v>WIN</v>
      </c>
      <c r="Q26" s="1">
        <f t="shared" si="5"/>
        <v>1</v>
      </c>
    </row>
    <row r="27" ht="15.75" customHeight="1">
      <c r="A27" s="1">
        <v>10.0</v>
      </c>
      <c r="B27" s="18" t="s">
        <v>70</v>
      </c>
      <c r="C27" s="10" t="s">
        <v>29</v>
      </c>
      <c r="D27" s="21">
        <v>45585.0</v>
      </c>
      <c r="E27" s="22">
        <v>0.875</v>
      </c>
      <c r="F27" s="23" t="s">
        <v>24</v>
      </c>
      <c r="G27" s="13" t="s">
        <v>30</v>
      </c>
      <c r="H27" s="1" t="s">
        <v>71</v>
      </c>
      <c r="I27" s="24" t="s">
        <v>21</v>
      </c>
      <c r="J27" s="25">
        <v>47848.0</v>
      </c>
      <c r="K27" s="26">
        <v>0.20902777777777778</v>
      </c>
      <c r="L27" s="17" t="s">
        <v>53</v>
      </c>
      <c r="M27" s="1">
        <f t="shared" si="1"/>
        <v>5</v>
      </c>
      <c r="N27" s="1">
        <f t="shared" si="2"/>
        <v>1</v>
      </c>
      <c r="O27" s="1" t="str">
        <f t="shared" si="3"/>
        <v>51</v>
      </c>
      <c r="P27" s="1" t="str">
        <f t="shared" si="4"/>
        <v>WIN</v>
      </c>
      <c r="Q27" s="1">
        <f t="shared" si="5"/>
        <v>1</v>
      </c>
    </row>
    <row r="28" ht="15.75" customHeight="1">
      <c r="A28" s="1">
        <v>11.0</v>
      </c>
      <c r="B28" s="18" t="s">
        <v>72</v>
      </c>
      <c r="C28" s="10" t="s">
        <v>32</v>
      </c>
      <c r="D28" s="21">
        <v>45591.0</v>
      </c>
      <c r="E28" s="22">
        <v>0.875</v>
      </c>
      <c r="F28" s="23" t="s">
        <v>19</v>
      </c>
      <c r="G28" s="13" t="s">
        <v>30</v>
      </c>
      <c r="H28" s="1" t="s">
        <v>73</v>
      </c>
      <c r="I28" s="24" t="s">
        <v>21</v>
      </c>
      <c r="J28" s="25">
        <v>78192.0</v>
      </c>
      <c r="K28" s="26">
        <v>0.002777777777777778</v>
      </c>
      <c r="L28" s="17" t="s">
        <v>53</v>
      </c>
      <c r="M28" s="1">
        <f t="shared" si="1"/>
        <v>0</v>
      </c>
      <c r="N28" s="1">
        <f t="shared" si="2"/>
        <v>4</v>
      </c>
      <c r="O28" s="1" t="str">
        <f t="shared" si="3"/>
        <v>04</v>
      </c>
      <c r="P28" s="1" t="str">
        <f t="shared" si="4"/>
        <v>WIN</v>
      </c>
      <c r="Q28" s="1">
        <f t="shared" si="5"/>
        <v>1</v>
      </c>
    </row>
    <row r="29" ht="15.75" customHeight="1">
      <c r="A29" s="1">
        <v>12.0</v>
      </c>
      <c r="B29" s="18" t="s">
        <v>74</v>
      </c>
      <c r="C29" s="10" t="s">
        <v>29</v>
      </c>
      <c r="D29" s="19">
        <v>45599.0</v>
      </c>
      <c r="E29" s="22">
        <v>0.6770833333333334</v>
      </c>
      <c r="F29" s="23" t="s">
        <v>24</v>
      </c>
      <c r="G29" s="13" t="s">
        <v>30</v>
      </c>
      <c r="H29" s="1" t="s">
        <v>75</v>
      </c>
      <c r="I29" s="24" t="s">
        <v>21</v>
      </c>
      <c r="J29" s="25">
        <v>48843.0</v>
      </c>
      <c r="K29" s="26">
        <v>0.12569444444444444</v>
      </c>
      <c r="L29" s="17" t="s">
        <v>53</v>
      </c>
      <c r="M29" s="1">
        <f t="shared" si="1"/>
        <v>3</v>
      </c>
      <c r="N29" s="1">
        <f t="shared" si="2"/>
        <v>1</v>
      </c>
      <c r="O29" s="1" t="str">
        <f t="shared" si="3"/>
        <v>31</v>
      </c>
      <c r="P29" s="1" t="str">
        <f t="shared" si="4"/>
        <v>WIN</v>
      </c>
      <c r="Q29" s="1">
        <f t="shared" si="5"/>
        <v>1</v>
      </c>
    </row>
    <row r="30" ht="15.75" customHeight="1">
      <c r="A30" s="1">
        <v>13.0</v>
      </c>
      <c r="B30" s="18" t="s">
        <v>76</v>
      </c>
      <c r="C30" s="10" t="s">
        <v>29</v>
      </c>
      <c r="D30" s="21">
        <v>45606.0</v>
      </c>
      <c r="E30" s="22">
        <v>0.875</v>
      </c>
      <c r="F30" s="23" t="s">
        <v>19</v>
      </c>
      <c r="G30" s="13" t="s">
        <v>30</v>
      </c>
      <c r="H30" s="1" t="s">
        <v>77</v>
      </c>
      <c r="I30" s="24" t="s">
        <v>59</v>
      </c>
      <c r="J30" s="25">
        <v>36194.0</v>
      </c>
      <c r="K30" s="26">
        <v>0.041666666666666664</v>
      </c>
      <c r="L30" s="17" t="s">
        <v>53</v>
      </c>
      <c r="M30" s="1">
        <f t="shared" si="1"/>
        <v>1</v>
      </c>
      <c r="N30" s="1">
        <f t="shared" si="2"/>
        <v>0</v>
      </c>
      <c r="O30" s="1" t="str">
        <f t="shared" si="3"/>
        <v>10</v>
      </c>
      <c r="P30" s="1" t="str">
        <f t="shared" si="4"/>
        <v>LOSS</v>
      </c>
      <c r="Q30" s="1">
        <f t="shared" si="5"/>
        <v>-1</v>
      </c>
    </row>
    <row r="31" ht="15.75" customHeight="1">
      <c r="A31" s="1">
        <v>14.0</v>
      </c>
      <c r="B31" s="18" t="s">
        <v>78</v>
      </c>
      <c r="C31" s="10" t="s">
        <v>32</v>
      </c>
      <c r="D31" s="21">
        <v>45619.0</v>
      </c>
      <c r="E31" s="22">
        <v>0.875</v>
      </c>
      <c r="F31" s="23" t="s">
        <v>19</v>
      </c>
      <c r="G31" s="13" t="s">
        <v>30</v>
      </c>
      <c r="H31" s="1" t="s">
        <v>79</v>
      </c>
      <c r="I31" s="24" t="s">
        <v>59</v>
      </c>
      <c r="J31" s="25">
        <v>24573.0</v>
      </c>
      <c r="K31" s="26">
        <v>0.08472222222222223</v>
      </c>
      <c r="L31" s="17" t="s">
        <v>53</v>
      </c>
      <c r="M31" s="1">
        <f t="shared" si="1"/>
        <v>2</v>
      </c>
      <c r="N31" s="1">
        <f t="shared" si="2"/>
        <v>2</v>
      </c>
      <c r="O31" s="1" t="str">
        <f t="shared" si="3"/>
        <v>22</v>
      </c>
      <c r="P31" s="1" t="str">
        <f t="shared" si="4"/>
        <v>DRAW</v>
      </c>
      <c r="Q31" s="1">
        <f t="shared" si="5"/>
        <v>0</v>
      </c>
    </row>
    <row r="32" ht="15.75" customHeight="1">
      <c r="A32" s="1">
        <v>15.0</v>
      </c>
      <c r="B32" s="18" t="s">
        <v>80</v>
      </c>
      <c r="C32" s="10" t="s">
        <v>32</v>
      </c>
      <c r="D32" s="21">
        <v>45626.0</v>
      </c>
      <c r="E32" s="22">
        <v>0.5833333333333334</v>
      </c>
      <c r="F32" s="23" t="s">
        <v>24</v>
      </c>
      <c r="G32" s="13" t="s">
        <v>30</v>
      </c>
      <c r="H32" s="1" t="s">
        <v>81</v>
      </c>
      <c r="I32" s="24" t="s">
        <v>21</v>
      </c>
      <c r="J32" s="25">
        <v>43921.0</v>
      </c>
      <c r="K32" s="26">
        <v>0.043055555555555555</v>
      </c>
      <c r="L32" s="17" t="s">
        <v>53</v>
      </c>
      <c r="M32" s="1">
        <f t="shared" si="1"/>
        <v>1</v>
      </c>
      <c r="N32" s="1">
        <f t="shared" si="2"/>
        <v>2</v>
      </c>
      <c r="O32" s="1" t="str">
        <f t="shared" si="3"/>
        <v>12</v>
      </c>
      <c r="P32" s="1" t="str">
        <f t="shared" si="4"/>
        <v>LOSS</v>
      </c>
      <c r="Q32" s="1">
        <f t="shared" si="5"/>
        <v>-1</v>
      </c>
    </row>
    <row r="33" ht="15.75" customHeight="1">
      <c r="A33" s="1">
        <v>16.0</v>
      </c>
      <c r="B33" s="18" t="s">
        <v>82</v>
      </c>
      <c r="C33" s="10" t="s">
        <v>32</v>
      </c>
      <c r="D33" s="19">
        <v>45633.0</v>
      </c>
      <c r="E33" s="22">
        <v>0.6770833333333334</v>
      </c>
      <c r="F33" s="23" t="s">
        <v>19</v>
      </c>
      <c r="G33" s="13" t="s">
        <v>33</v>
      </c>
      <c r="H33" s="1" t="s">
        <v>83</v>
      </c>
      <c r="I33" s="24" t="s">
        <v>59</v>
      </c>
      <c r="J33" s="25">
        <v>51749.0</v>
      </c>
      <c r="K33" s="26">
        <v>0.08472222222222223</v>
      </c>
      <c r="L33" s="17" t="s">
        <v>53</v>
      </c>
      <c r="M33" s="1">
        <f t="shared" si="1"/>
        <v>2</v>
      </c>
      <c r="N33" s="1">
        <f t="shared" si="2"/>
        <v>2</v>
      </c>
      <c r="O33" s="1" t="str">
        <f t="shared" si="3"/>
        <v>22</v>
      </c>
      <c r="P33" s="1" t="str">
        <f t="shared" si="4"/>
        <v>DRAW</v>
      </c>
      <c r="Q33" s="1">
        <f t="shared" si="5"/>
        <v>0</v>
      </c>
    </row>
    <row r="34" ht="15.75" customHeight="1">
      <c r="A34" s="1">
        <v>17.0</v>
      </c>
      <c r="B34" s="18" t="s">
        <v>84</v>
      </c>
      <c r="C34" s="10" t="s">
        <v>29</v>
      </c>
      <c r="D34" s="21">
        <v>45641.0</v>
      </c>
      <c r="E34" s="22">
        <v>0.875</v>
      </c>
      <c r="F34" s="23" t="s">
        <v>24</v>
      </c>
      <c r="G34" s="13" t="s">
        <v>33</v>
      </c>
      <c r="H34" s="1" t="s">
        <v>85</v>
      </c>
      <c r="I34" s="24" t="s">
        <v>21</v>
      </c>
      <c r="J34" s="25">
        <v>39523.0</v>
      </c>
      <c r="K34" s="26">
        <v>6.944444444444445E-4</v>
      </c>
      <c r="L34" s="17" t="s">
        <v>53</v>
      </c>
      <c r="M34" s="1">
        <f t="shared" si="1"/>
        <v>0</v>
      </c>
      <c r="N34" s="1">
        <f t="shared" si="2"/>
        <v>1</v>
      </c>
      <c r="O34" s="1" t="str">
        <f t="shared" si="3"/>
        <v>01</v>
      </c>
      <c r="P34" s="1" t="str">
        <f t="shared" si="4"/>
        <v>LOSS</v>
      </c>
      <c r="Q34" s="1">
        <f t="shared" si="5"/>
        <v>-1</v>
      </c>
    </row>
    <row r="35" ht="15.75" customHeight="1">
      <c r="A35" s="1">
        <v>18.0</v>
      </c>
      <c r="B35" s="18" t="s">
        <v>86</v>
      </c>
      <c r="C35" s="10" t="s">
        <v>32</v>
      </c>
      <c r="D35" s="21">
        <v>45647.0</v>
      </c>
      <c r="E35" s="22">
        <v>0.875</v>
      </c>
      <c r="F35" s="23" t="s">
        <v>24</v>
      </c>
      <c r="G35" s="13" t="s">
        <v>87</v>
      </c>
      <c r="H35" s="1" t="s">
        <v>88</v>
      </c>
      <c r="I35" s="24" t="s">
        <v>59</v>
      </c>
      <c r="J35" s="25">
        <v>46249.0</v>
      </c>
      <c r="K35" s="26">
        <v>0.043055555555555555</v>
      </c>
      <c r="L35" s="17" t="s">
        <v>53</v>
      </c>
      <c r="M35" s="1">
        <f t="shared" si="1"/>
        <v>1</v>
      </c>
      <c r="N35" s="1">
        <f t="shared" si="2"/>
        <v>2</v>
      </c>
      <c r="O35" s="1" t="str">
        <f t="shared" si="3"/>
        <v>12</v>
      </c>
      <c r="P35" s="1" t="str">
        <f t="shared" si="4"/>
        <v>LOSS</v>
      </c>
      <c r="Q35" s="1">
        <f t="shared" si="5"/>
        <v>-1</v>
      </c>
    </row>
    <row r="36" ht="15.75" customHeight="1">
      <c r="A36" s="1">
        <v>19.0</v>
      </c>
      <c r="B36" s="18" t="s">
        <v>89</v>
      </c>
      <c r="C36" s="10" t="s">
        <v>26</v>
      </c>
      <c r="D36" s="19">
        <v>45629.0</v>
      </c>
      <c r="E36" s="22">
        <v>0.7916666666666666</v>
      </c>
      <c r="F36" s="23" t="s">
        <v>19</v>
      </c>
      <c r="G36" s="13" t="s">
        <v>87</v>
      </c>
      <c r="H36" s="1" t="s">
        <v>90</v>
      </c>
      <c r="I36" s="24" t="s">
        <v>21</v>
      </c>
      <c r="J36" s="25">
        <v>22352.0</v>
      </c>
      <c r="K36" s="26">
        <v>0.04513888888888889</v>
      </c>
      <c r="L36" s="17" t="s">
        <v>53</v>
      </c>
      <c r="M36" s="1">
        <f t="shared" si="1"/>
        <v>1</v>
      </c>
      <c r="N36" s="1">
        <f t="shared" si="2"/>
        <v>5</v>
      </c>
      <c r="O36" s="1" t="str">
        <f t="shared" si="3"/>
        <v>15</v>
      </c>
      <c r="P36" s="1" t="str">
        <f t="shared" si="4"/>
        <v>WIN</v>
      </c>
      <c r="Q36" s="1">
        <f t="shared" si="5"/>
        <v>1</v>
      </c>
    </row>
    <row r="37" ht="15.75" customHeight="1">
      <c r="A37" s="1">
        <v>20.0</v>
      </c>
      <c r="B37" s="18" t="s">
        <v>91</v>
      </c>
      <c r="C37" s="10" t="s">
        <v>32</v>
      </c>
      <c r="D37" s="19">
        <v>45675.0</v>
      </c>
      <c r="E37" s="22">
        <v>0.875</v>
      </c>
      <c r="F37" s="23" t="s">
        <v>19</v>
      </c>
      <c r="G37" s="13" t="s">
        <v>87</v>
      </c>
      <c r="H37" s="1" t="s">
        <v>92</v>
      </c>
      <c r="I37" s="24" t="s">
        <v>59</v>
      </c>
      <c r="J37" s="25">
        <v>15134.0</v>
      </c>
      <c r="K37" s="26">
        <v>0.04236111111111111</v>
      </c>
      <c r="L37" s="17" t="s">
        <v>53</v>
      </c>
      <c r="M37" s="1">
        <f t="shared" si="1"/>
        <v>1</v>
      </c>
      <c r="N37" s="1">
        <f t="shared" si="2"/>
        <v>1</v>
      </c>
      <c r="O37" s="1" t="str">
        <f t="shared" si="3"/>
        <v>11</v>
      </c>
      <c r="P37" s="1" t="str">
        <f t="shared" si="4"/>
        <v>DRAW</v>
      </c>
      <c r="Q37" s="1">
        <f t="shared" si="5"/>
        <v>0</v>
      </c>
    </row>
    <row r="38" ht="15.75" customHeight="1">
      <c r="A38" s="1">
        <v>21.0</v>
      </c>
      <c r="B38" s="18" t="s">
        <v>93</v>
      </c>
      <c r="C38" s="10" t="s">
        <v>29</v>
      </c>
      <c r="D38" s="19">
        <v>45683.0</v>
      </c>
      <c r="E38" s="22">
        <v>0.875</v>
      </c>
      <c r="F38" s="23" t="s">
        <v>24</v>
      </c>
      <c r="G38" s="13" t="s">
        <v>87</v>
      </c>
      <c r="H38" s="1" t="s">
        <v>94</v>
      </c>
      <c r="I38" s="24" t="s">
        <v>21</v>
      </c>
      <c r="J38" s="25">
        <v>45312.0</v>
      </c>
      <c r="K38" s="26">
        <v>0.2923611111111111</v>
      </c>
      <c r="L38" s="17" t="s">
        <v>53</v>
      </c>
      <c r="M38" s="1">
        <f t="shared" si="1"/>
        <v>7</v>
      </c>
      <c r="N38" s="1">
        <f t="shared" si="2"/>
        <v>1</v>
      </c>
      <c r="O38" s="1" t="str">
        <f t="shared" si="3"/>
        <v>71</v>
      </c>
      <c r="P38" s="1" t="str">
        <f t="shared" si="4"/>
        <v>WIN</v>
      </c>
      <c r="Q38" s="1">
        <f t="shared" si="5"/>
        <v>1</v>
      </c>
    </row>
    <row r="39" ht="15.75" customHeight="1">
      <c r="A39" s="1">
        <v>22.0</v>
      </c>
      <c r="B39" s="18" t="s">
        <v>95</v>
      </c>
      <c r="C39" s="10" t="s">
        <v>29</v>
      </c>
      <c r="D39" s="19">
        <v>45690.0</v>
      </c>
      <c r="E39" s="22">
        <v>0.5833333333333334</v>
      </c>
      <c r="F39" s="23" t="s">
        <v>24</v>
      </c>
      <c r="G39" s="13" t="s">
        <v>87</v>
      </c>
      <c r="H39" s="1" t="s">
        <v>96</v>
      </c>
      <c r="I39" s="24" t="s">
        <v>59</v>
      </c>
      <c r="J39" s="25">
        <v>42900.0</v>
      </c>
      <c r="K39" s="26">
        <v>0.041666666666666664</v>
      </c>
      <c r="L39" s="17" t="s">
        <v>53</v>
      </c>
      <c r="M39" s="1">
        <f t="shared" si="1"/>
        <v>1</v>
      </c>
      <c r="N39" s="1">
        <f t="shared" si="2"/>
        <v>0</v>
      </c>
      <c r="O39" s="1" t="str">
        <f t="shared" si="3"/>
        <v>10</v>
      </c>
      <c r="P39" s="1" t="str">
        <f t="shared" si="4"/>
        <v>WIN</v>
      </c>
      <c r="Q39" s="1">
        <f t="shared" si="5"/>
        <v>1</v>
      </c>
    </row>
    <row r="40" ht="15.75" customHeight="1">
      <c r="A40" s="1">
        <v>23.0</v>
      </c>
      <c r="B40" s="18" t="s">
        <v>97</v>
      </c>
      <c r="C40" s="10" t="s">
        <v>29</v>
      </c>
      <c r="D40" s="19">
        <v>45697.0</v>
      </c>
      <c r="E40" s="22">
        <v>0.875</v>
      </c>
      <c r="F40" s="23" t="s">
        <v>19</v>
      </c>
      <c r="G40" s="13" t="s">
        <v>87</v>
      </c>
      <c r="H40" s="1" t="s">
        <v>71</v>
      </c>
      <c r="I40" s="24" t="s">
        <v>59</v>
      </c>
      <c r="J40" s="25">
        <v>38592.0</v>
      </c>
      <c r="K40" s="26">
        <v>0.044444444444444446</v>
      </c>
      <c r="L40" s="17" t="s">
        <v>53</v>
      </c>
      <c r="M40" s="1">
        <f t="shared" si="1"/>
        <v>1</v>
      </c>
      <c r="N40" s="1">
        <f t="shared" si="2"/>
        <v>4</v>
      </c>
      <c r="O40" s="1" t="str">
        <f t="shared" si="3"/>
        <v>14</v>
      </c>
      <c r="P40" s="1" t="str">
        <f t="shared" si="4"/>
        <v>WIN</v>
      </c>
      <c r="Q40" s="1">
        <f t="shared" si="5"/>
        <v>1</v>
      </c>
    </row>
    <row r="41" ht="15.75" customHeight="1">
      <c r="A41" s="1">
        <v>24.0</v>
      </c>
      <c r="B41" s="18" t="s">
        <v>98</v>
      </c>
      <c r="C41" s="10" t="s">
        <v>99</v>
      </c>
      <c r="D41" s="19">
        <v>45705.0</v>
      </c>
      <c r="E41" s="22">
        <v>0.875</v>
      </c>
      <c r="F41" s="23" t="s">
        <v>24</v>
      </c>
      <c r="G41" s="13" t="s">
        <v>87</v>
      </c>
      <c r="H41" s="1" t="s">
        <v>100</v>
      </c>
      <c r="I41" s="24" t="s">
        <v>59</v>
      </c>
      <c r="J41" s="25">
        <v>45296.0</v>
      </c>
      <c r="K41" s="26">
        <v>0.041666666666666664</v>
      </c>
      <c r="L41" s="17" t="s">
        <v>53</v>
      </c>
      <c r="M41" s="1">
        <f t="shared" si="1"/>
        <v>1</v>
      </c>
      <c r="N41" s="1">
        <f t="shared" si="2"/>
        <v>0</v>
      </c>
      <c r="O41" s="1" t="str">
        <f t="shared" si="3"/>
        <v>10</v>
      </c>
      <c r="P41" s="1" t="str">
        <f t="shared" si="4"/>
        <v>WIN</v>
      </c>
      <c r="Q41" s="1">
        <f t="shared" si="5"/>
        <v>1</v>
      </c>
    </row>
    <row r="42" ht="15.75" customHeight="1">
      <c r="A42" s="1">
        <v>25.0</v>
      </c>
      <c r="B42" s="18" t="s">
        <v>101</v>
      </c>
      <c r="C42" s="10" t="s">
        <v>32</v>
      </c>
      <c r="D42" s="19">
        <v>45710.0</v>
      </c>
      <c r="E42" s="22">
        <v>0.875</v>
      </c>
      <c r="F42" s="23" t="s">
        <v>19</v>
      </c>
      <c r="G42" s="13" t="s">
        <v>30</v>
      </c>
      <c r="H42" s="1" t="s">
        <v>81</v>
      </c>
      <c r="I42" s="24" t="s">
        <v>21</v>
      </c>
      <c r="J42" s="25">
        <v>30746.0</v>
      </c>
      <c r="K42" s="26">
        <v>0.001388888888888889</v>
      </c>
      <c r="L42" s="17" t="s">
        <v>53</v>
      </c>
      <c r="M42" s="1">
        <f t="shared" si="1"/>
        <v>0</v>
      </c>
      <c r="N42" s="1">
        <f t="shared" si="2"/>
        <v>2</v>
      </c>
      <c r="O42" s="1" t="str">
        <f t="shared" si="3"/>
        <v>02</v>
      </c>
      <c r="P42" s="1" t="str">
        <f t="shared" si="4"/>
        <v>WIN</v>
      </c>
      <c r="Q42" s="1">
        <f t="shared" si="5"/>
        <v>1</v>
      </c>
    </row>
    <row r="43" ht="15.75" customHeight="1">
      <c r="A43" s="1">
        <v>26.0</v>
      </c>
      <c r="B43" s="18" t="s">
        <v>102</v>
      </c>
      <c r="C43" s="10" t="s">
        <v>29</v>
      </c>
      <c r="D43" s="19">
        <v>45718.0</v>
      </c>
      <c r="E43" s="22">
        <v>0.6770833333333334</v>
      </c>
      <c r="F43" s="23" t="s">
        <v>24</v>
      </c>
      <c r="G43" s="13" t="s">
        <v>30</v>
      </c>
      <c r="H43" s="1" t="s">
        <v>103</v>
      </c>
      <c r="I43" s="24" t="s">
        <v>21</v>
      </c>
      <c r="J43" s="25">
        <v>46324.0</v>
      </c>
      <c r="K43" s="26">
        <v>0.16666666666666666</v>
      </c>
      <c r="L43" s="17" t="s">
        <v>53</v>
      </c>
      <c r="M43" s="1">
        <f t="shared" si="1"/>
        <v>4</v>
      </c>
      <c r="N43" s="1">
        <f t="shared" si="2"/>
        <v>0</v>
      </c>
      <c r="O43" s="1" t="str">
        <f t="shared" si="3"/>
        <v>40</v>
      </c>
      <c r="P43" s="1" t="str">
        <f t="shared" si="4"/>
        <v>WIN</v>
      </c>
      <c r="Q43" s="1">
        <f t="shared" si="5"/>
        <v>1</v>
      </c>
    </row>
    <row r="44" ht="15.75" customHeight="1">
      <c r="A44" s="1">
        <v>27.0</v>
      </c>
      <c r="B44" s="18" t="s">
        <v>104</v>
      </c>
      <c r="C44" s="10" t="s">
        <v>18</v>
      </c>
      <c r="D44" s="19">
        <v>45743.0</v>
      </c>
      <c r="E44" s="22">
        <v>0.875</v>
      </c>
      <c r="F44" s="23" t="s">
        <v>24</v>
      </c>
      <c r="G44" s="13" t="s">
        <v>30</v>
      </c>
      <c r="H44" s="1" t="s">
        <v>105</v>
      </c>
      <c r="I44" s="24" t="s">
        <v>59</v>
      </c>
      <c r="J44" s="25">
        <v>42319.0</v>
      </c>
      <c r="K44" s="26">
        <v>0.125</v>
      </c>
      <c r="L44" s="17" t="s">
        <v>53</v>
      </c>
      <c r="M44" s="1">
        <f t="shared" si="1"/>
        <v>3</v>
      </c>
      <c r="N44" s="1">
        <f t="shared" si="2"/>
        <v>0</v>
      </c>
      <c r="O44" s="1" t="str">
        <f t="shared" si="3"/>
        <v>30</v>
      </c>
      <c r="P44" s="1" t="str">
        <f t="shared" si="4"/>
        <v>WIN</v>
      </c>
      <c r="Q44" s="1">
        <f t="shared" si="5"/>
        <v>1</v>
      </c>
    </row>
    <row r="45" ht="15.75" customHeight="1">
      <c r="A45" s="1">
        <v>28.0</v>
      </c>
      <c r="B45" s="18" t="s">
        <v>106</v>
      </c>
      <c r="C45" s="10" t="s">
        <v>29</v>
      </c>
      <c r="D45" s="19">
        <v>45732.0</v>
      </c>
      <c r="E45" s="22">
        <v>0.875</v>
      </c>
      <c r="F45" s="23" t="s">
        <v>19</v>
      </c>
      <c r="G45" s="13" t="s">
        <v>30</v>
      </c>
      <c r="H45" s="1" t="s">
        <v>107</v>
      </c>
      <c r="I45" s="24" t="s">
        <v>21</v>
      </c>
      <c r="J45" s="25">
        <v>67602.0</v>
      </c>
      <c r="K45" s="26">
        <v>0.08611111111111111</v>
      </c>
      <c r="L45" s="17" t="s">
        <v>53</v>
      </c>
      <c r="M45" s="1">
        <f t="shared" si="1"/>
        <v>2</v>
      </c>
      <c r="N45" s="1">
        <f t="shared" si="2"/>
        <v>4</v>
      </c>
      <c r="O45" s="1" t="str">
        <f t="shared" si="3"/>
        <v>24</v>
      </c>
      <c r="P45" s="1" t="str">
        <f t="shared" si="4"/>
        <v>WIN</v>
      </c>
      <c r="Q45" s="1">
        <f t="shared" si="5"/>
        <v>1</v>
      </c>
    </row>
    <row r="46" ht="15.75" customHeight="1">
      <c r="A46" s="1">
        <v>29.0</v>
      </c>
      <c r="B46" s="18" t="s">
        <v>108</v>
      </c>
      <c r="C46" s="10" t="s">
        <v>29</v>
      </c>
      <c r="D46" s="19">
        <v>45746.0</v>
      </c>
      <c r="E46" s="22">
        <v>0.6770833333333334</v>
      </c>
      <c r="F46" s="23" t="s">
        <v>24</v>
      </c>
      <c r="G46" s="13" t="s">
        <v>30</v>
      </c>
      <c r="H46" s="1" t="s">
        <v>109</v>
      </c>
      <c r="I46" s="24" t="s">
        <v>21</v>
      </c>
      <c r="J46" s="25">
        <v>48258.0</v>
      </c>
      <c r="K46" s="26">
        <v>0.1673611111111111</v>
      </c>
      <c r="L46" s="17" t="s">
        <v>53</v>
      </c>
      <c r="M46" s="1">
        <f t="shared" si="1"/>
        <v>4</v>
      </c>
      <c r="N46" s="1">
        <f t="shared" si="2"/>
        <v>1</v>
      </c>
      <c r="O46" s="1" t="str">
        <f t="shared" si="3"/>
        <v>41</v>
      </c>
      <c r="P46" s="1" t="str">
        <f t="shared" si="4"/>
        <v>WIN</v>
      </c>
      <c r="Q46" s="1">
        <f t="shared" si="5"/>
        <v>1</v>
      </c>
    </row>
    <row r="47" ht="15.75" customHeight="1">
      <c r="A47" s="1">
        <v>30.0</v>
      </c>
      <c r="B47" s="18" t="s">
        <v>110</v>
      </c>
      <c r="C47" s="10" t="s">
        <v>32</v>
      </c>
      <c r="D47" s="19">
        <v>45752.0</v>
      </c>
      <c r="E47" s="22">
        <v>0.875</v>
      </c>
      <c r="F47" s="23" t="s">
        <v>24</v>
      </c>
      <c r="G47" s="13" t="s">
        <v>30</v>
      </c>
      <c r="H47" s="1" t="s">
        <v>111</v>
      </c>
      <c r="I47" s="24" t="s">
        <v>21</v>
      </c>
      <c r="J47" s="25">
        <v>47043.0</v>
      </c>
      <c r="K47" s="26">
        <v>0.04236111111111111</v>
      </c>
      <c r="L47" s="17" t="s">
        <v>53</v>
      </c>
      <c r="M47" s="1">
        <f t="shared" si="1"/>
        <v>1</v>
      </c>
      <c r="N47" s="1">
        <f t="shared" si="2"/>
        <v>1</v>
      </c>
      <c r="O47" s="1" t="str">
        <f t="shared" si="3"/>
        <v>11</v>
      </c>
      <c r="P47" s="1" t="str">
        <f t="shared" si="4"/>
        <v>DRAW</v>
      </c>
      <c r="Q47" s="1">
        <f t="shared" si="5"/>
        <v>0</v>
      </c>
    </row>
    <row r="48" ht="15.75" customHeight="1">
      <c r="A48" s="1">
        <v>31.0</v>
      </c>
      <c r="B48" s="18" t="s">
        <v>112</v>
      </c>
      <c r="C48" s="10" t="s">
        <v>32</v>
      </c>
      <c r="D48" s="19">
        <v>45759.0</v>
      </c>
      <c r="E48" s="22">
        <v>0.875</v>
      </c>
      <c r="F48" s="23" t="s">
        <v>19</v>
      </c>
      <c r="G48" s="13" t="s">
        <v>30</v>
      </c>
      <c r="H48" s="1" t="s">
        <v>113</v>
      </c>
      <c r="I48" s="24" t="s">
        <v>21</v>
      </c>
      <c r="J48" s="25">
        <v>12530.0</v>
      </c>
      <c r="K48" s="26">
        <v>6.944444444444445E-4</v>
      </c>
      <c r="L48" s="17" t="s">
        <v>53</v>
      </c>
      <c r="M48" s="1">
        <f t="shared" si="1"/>
        <v>0</v>
      </c>
      <c r="N48" s="1">
        <f t="shared" si="2"/>
        <v>1</v>
      </c>
      <c r="O48" s="1" t="str">
        <f t="shared" si="3"/>
        <v>01</v>
      </c>
      <c r="P48" s="1" t="str">
        <f t="shared" si="4"/>
        <v>WIN</v>
      </c>
      <c r="Q48" s="1">
        <f t="shared" si="5"/>
        <v>1</v>
      </c>
    </row>
    <row r="49" ht="15.75" customHeight="1">
      <c r="A49" s="1">
        <v>32.0</v>
      </c>
      <c r="B49" s="18" t="s">
        <v>114</v>
      </c>
      <c r="C49" s="10" t="s">
        <v>32</v>
      </c>
      <c r="D49" s="19">
        <v>45766.0</v>
      </c>
      <c r="E49" s="22">
        <v>0.6770833333333334</v>
      </c>
      <c r="F49" s="23" t="s">
        <v>24</v>
      </c>
      <c r="G49" s="13" t="s">
        <v>30</v>
      </c>
      <c r="H49" s="1" t="s">
        <v>115</v>
      </c>
      <c r="I49" s="24" t="s">
        <v>59</v>
      </c>
      <c r="J49" s="25">
        <v>48569.0</v>
      </c>
      <c r="K49" s="26">
        <v>0.16875</v>
      </c>
      <c r="L49" s="17" t="s">
        <v>53</v>
      </c>
      <c r="M49" s="1">
        <f t="shared" si="1"/>
        <v>4</v>
      </c>
      <c r="N49" s="1">
        <f t="shared" si="2"/>
        <v>3</v>
      </c>
      <c r="O49" s="1" t="str">
        <f t="shared" si="3"/>
        <v>43</v>
      </c>
      <c r="P49" s="1" t="str">
        <f t="shared" si="4"/>
        <v>WIN</v>
      </c>
      <c r="Q49" s="1">
        <f t="shared" si="5"/>
        <v>1</v>
      </c>
    </row>
    <row r="50" ht="15.75" customHeight="1">
      <c r="A50" s="1">
        <v>33.0</v>
      </c>
      <c r="B50" s="18" t="s">
        <v>116</v>
      </c>
      <c r="C50" s="10" t="s">
        <v>26</v>
      </c>
      <c r="D50" s="19">
        <v>45769.0</v>
      </c>
      <c r="E50" s="22">
        <v>0.8958333333333334</v>
      </c>
      <c r="F50" s="23" t="s">
        <v>24</v>
      </c>
      <c r="G50" s="13" t="s">
        <v>30</v>
      </c>
      <c r="H50" s="1" t="s">
        <v>117</v>
      </c>
      <c r="I50" s="24" t="s">
        <v>21</v>
      </c>
      <c r="J50" s="25">
        <v>45602.0</v>
      </c>
      <c r="K50" s="26">
        <v>0.041666666666666664</v>
      </c>
      <c r="L50" s="17" t="s">
        <v>53</v>
      </c>
      <c r="M50" s="1">
        <f t="shared" si="1"/>
        <v>1</v>
      </c>
      <c r="N50" s="1">
        <f t="shared" si="2"/>
        <v>0</v>
      </c>
      <c r="O50" s="1" t="str">
        <f t="shared" si="3"/>
        <v>10</v>
      </c>
      <c r="P50" s="1" t="str">
        <f t="shared" si="4"/>
        <v>WIN</v>
      </c>
      <c r="Q50" s="1">
        <f t="shared" si="5"/>
        <v>1</v>
      </c>
    </row>
    <row r="51" ht="15.75" customHeight="1">
      <c r="A51" s="1">
        <v>34.0</v>
      </c>
      <c r="B51" s="18" t="s">
        <v>118</v>
      </c>
      <c r="C51" s="10" t="s">
        <v>32</v>
      </c>
      <c r="D51" s="19">
        <v>45780.0</v>
      </c>
      <c r="E51" s="22">
        <v>0.875</v>
      </c>
      <c r="F51" s="23" t="s">
        <v>19</v>
      </c>
      <c r="G51" s="13" t="s">
        <v>30</v>
      </c>
      <c r="H51" s="1" t="s">
        <v>119</v>
      </c>
      <c r="I51" s="24" t="s">
        <v>21</v>
      </c>
      <c r="J51" s="25">
        <v>23967.0</v>
      </c>
      <c r="K51" s="26">
        <v>0.043055555555555555</v>
      </c>
      <c r="L51" s="17" t="s">
        <v>53</v>
      </c>
      <c r="M51" s="1">
        <f t="shared" si="1"/>
        <v>1</v>
      </c>
      <c r="N51" s="1">
        <f t="shared" si="2"/>
        <v>2</v>
      </c>
      <c r="O51" s="1" t="str">
        <f t="shared" si="3"/>
        <v>12</v>
      </c>
      <c r="P51" s="1" t="str">
        <f t="shared" si="4"/>
        <v>WIN</v>
      </c>
      <c r="Q51" s="1">
        <f t="shared" si="5"/>
        <v>1</v>
      </c>
    </row>
    <row r="52" ht="15.75" customHeight="1">
      <c r="A52" s="1">
        <v>35.0</v>
      </c>
      <c r="B52" s="18" t="s">
        <v>120</v>
      </c>
      <c r="C52" s="10" t="s">
        <v>29</v>
      </c>
      <c r="D52" s="19">
        <v>45788.0</v>
      </c>
      <c r="E52" s="22">
        <v>0.6770833333333334</v>
      </c>
      <c r="F52" s="23" t="s">
        <v>24</v>
      </c>
      <c r="G52" s="13" t="s">
        <v>30</v>
      </c>
      <c r="H52" s="1" t="s">
        <v>73</v>
      </c>
      <c r="I52" s="24" t="s">
        <v>21</v>
      </c>
      <c r="J52" s="25">
        <v>50319.0</v>
      </c>
      <c r="K52" s="26">
        <v>0.16875</v>
      </c>
      <c r="L52" s="17" t="s">
        <v>53</v>
      </c>
      <c r="M52" s="1">
        <f t="shared" si="1"/>
        <v>4</v>
      </c>
      <c r="N52" s="1">
        <f t="shared" si="2"/>
        <v>3</v>
      </c>
      <c r="O52" s="1" t="str">
        <f t="shared" si="3"/>
        <v>43</v>
      </c>
      <c r="P52" s="1" t="str">
        <f t="shared" si="4"/>
        <v>WIN</v>
      </c>
      <c r="Q52" s="1">
        <f t="shared" si="5"/>
        <v>1</v>
      </c>
    </row>
    <row r="53" ht="15.75" customHeight="1">
      <c r="A53" s="1">
        <v>36.0</v>
      </c>
      <c r="B53" s="18" t="s">
        <v>121</v>
      </c>
      <c r="C53" s="10" t="s">
        <v>18</v>
      </c>
      <c r="D53" s="19">
        <v>45792.0</v>
      </c>
      <c r="E53" s="22">
        <v>0.8958333333333334</v>
      </c>
      <c r="F53" s="23" t="s">
        <v>19</v>
      </c>
      <c r="G53" s="13" t="s">
        <v>30</v>
      </c>
      <c r="H53" s="1" t="s">
        <v>122</v>
      </c>
      <c r="I53" s="24" t="s">
        <v>21</v>
      </c>
      <c r="J53" s="25">
        <v>34283.0</v>
      </c>
      <c r="K53" s="26">
        <v>0.001388888888888889</v>
      </c>
      <c r="L53" s="17" t="s">
        <v>53</v>
      </c>
      <c r="M53" s="1">
        <f t="shared" si="1"/>
        <v>0</v>
      </c>
      <c r="N53" s="1">
        <f t="shared" si="2"/>
        <v>2</v>
      </c>
      <c r="O53" s="1" t="str">
        <f t="shared" si="3"/>
        <v>02</v>
      </c>
      <c r="P53" s="1" t="str">
        <f t="shared" si="4"/>
        <v>WIN</v>
      </c>
      <c r="Q53" s="1">
        <f t="shared" si="5"/>
        <v>1</v>
      </c>
    </row>
    <row r="54" ht="15.75" customHeight="1">
      <c r="A54" s="1">
        <v>37.0</v>
      </c>
      <c r="B54" s="18" t="s">
        <v>123</v>
      </c>
      <c r="C54" s="10" t="s">
        <v>29</v>
      </c>
      <c r="D54" s="19">
        <v>45795.0</v>
      </c>
      <c r="E54" s="22">
        <v>0.7916666666666666</v>
      </c>
      <c r="F54" s="23" t="s">
        <v>24</v>
      </c>
      <c r="G54" s="13" t="s">
        <v>30</v>
      </c>
      <c r="H54" s="1" t="s">
        <v>124</v>
      </c>
      <c r="I54" s="24" t="s">
        <v>21</v>
      </c>
      <c r="J54" s="25">
        <v>49558.0</v>
      </c>
      <c r="K54" s="26">
        <v>0.08541666666666667</v>
      </c>
      <c r="L54" s="17" t="s">
        <v>53</v>
      </c>
      <c r="M54" s="1">
        <f t="shared" si="1"/>
        <v>2</v>
      </c>
      <c r="N54" s="1">
        <f t="shared" si="2"/>
        <v>3</v>
      </c>
      <c r="O54" s="1" t="str">
        <f t="shared" si="3"/>
        <v>23</v>
      </c>
      <c r="P54" s="1" t="str">
        <f t="shared" si="4"/>
        <v>LOSS</v>
      </c>
      <c r="Q54" s="1">
        <f t="shared" si="5"/>
        <v>-1</v>
      </c>
    </row>
    <row r="55" ht="15.75" customHeight="1">
      <c r="A55" s="1">
        <v>38.0</v>
      </c>
      <c r="B55" s="18" t="s">
        <v>125</v>
      </c>
      <c r="C55" s="10" t="s">
        <v>29</v>
      </c>
      <c r="D55" s="19">
        <v>45802.0</v>
      </c>
      <c r="E55" s="22">
        <v>0.875</v>
      </c>
      <c r="F55" s="23" t="s">
        <v>19</v>
      </c>
      <c r="G55" s="13" t="s">
        <v>30</v>
      </c>
      <c r="H55" s="1" t="s">
        <v>126</v>
      </c>
      <c r="I55" s="24" t="s">
        <v>21</v>
      </c>
      <c r="J55" s="25">
        <v>50231.0</v>
      </c>
      <c r="K55" s="26">
        <v>0.0020833333333333333</v>
      </c>
      <c r="L55" s="17" t="s">
        <v>53</v>
      </c>
      <c r="M55" s="1">
        <f t="shared" si="1"/>
        <v>0</v>
      </c>
      <c r="N55" s="1">
        <f t="shared" si="2"/>
        <v>3</v>
      </c>
      <c r="O55" s="1" t="str">
        <f t="shared" si="3"/>
        <v>03</v>
      </c>
      <c r="P55" s="1" t="str">
        <f t="shared" si="4"/>
        <v>WIN</v>
      </c>
      <c r="Q55" s="1">
        <f t="shared" si="5"/>
        <v>1</v>
      </c>
    </row>
    <row r="56" ht="15.75" customHeight="1">
      <c r="A56" s="24" t="s">
        <v>17</v>
      </c>
      <c r="B56" s="18" t="s">
        <v>127</v>
      </c>
      <c r="C56" s="10" t="s">
        <v>18</v>
      </c>
      <c r="D56" s="19">
        <v>45554.0</v>
      </c>
      <c r="E56" s="22">
        <v>0.875</v>
      </c>
      <c r="F56" s="23" t="s">
        <v>19</v>
      </c>
      <c r="G56" s="13"/>
      <c r="H56" s="1" t="s">
        <v>128</v>
      </c>
      <c r="I56" s="24" t="s">
        <v>21</v>
      </c>
      <c r="J56" s="25">
        <v>13296.0</v>
      </c>
      <c r="K56" s="26">
        <v>0.08402777777777778</v>
      </c>
      <c r="L56" s="17" t="s">
        <v>53</v>
      </c>
      <c r="M56" s="1">
        <f t="shared" si="1"/>
        <v>2</v>
      </c>
      <c r="N56" s="1">
        <f t="shared" si="2"/>
        <v>1</v>
      </c>
      <c r="O56" s="1" t="str">
        <f t="shared" si="3"/>
        <v>21</v>
      </c>
      <c r="P56" s="1" t="str">
        <f t="shared" si="4"/>
        <v>LOSS</v>
      </c>
      <c r="Q56" s="1">
        <f t="shared" si="5"/>
        <v>-1</v>
      </c>
    </row>
    <row r="57" ht="15.75" customHeight="1">
      <c r="A57" s="24" t="s">
        <v>17</v>
      </c>
      <c r="B57" s="18" t="s">
        <v>129</v>
      </c>
      <c r="C57" s="10" t="s">
        <v>26</v>
      </c>
      <c r="D57" s="19">
        <v>45566.0</v>
      </c>
      <c r="E57" s="22">
        <v>0.875</v>
      </c>
      <c r="F57" s="23" t="s">
        <v>24</v>
      </c>
      <c r="G57" s="13"/>
      <c r="H57" s="6" t="s">
        <v>130</v>
      </c>
      <c r="I57" s="24" t="s">
        <v>21</v>
      </c>
      <c r="J57" s="25">
        <v>45097.0</v>
      </c>
      <c r="K57" s="26">
        <v>0.20833333333333334</v>
      </c>
      <c r="L57" s="17" t="s">
        <v>53</v>
      </c>
      <c r="M57" s="1">
        <f t="shared" si="1"/>
        <v>5</v>
      </c>
      <c r="N57" s="1">
        <f t="shared" si="2"/>
        <v>0</v>
      </c>
      <c r="O57" s="1" t="str">
        <f t="shared" si="3"/>
        <v>50</v>
      </c>
      <c r="P57" s="1" t="str">
        <f t="shared" si="4"/>
        <v>WIN</v>
      </c>
      <c r="Q57" s="1">
        <f t="shared" si="5"/>
        <v>1</v>
      </c>
    </row>
    <row r="58" ht="15.75" customHeight="1">
      <c r="A58" s="24" t="s">
        <v>17</v>
      </c>
      <c r="B58" s="18" t="s">
        <v>131</v>
      </c>
      <c r="C58" s="10" t="s">
        <v>23</v>
      </c>
      <c r="D58" s="21">
        <v>45588.0</v>
      </c>
      <c r="E58" s="22">
        <v>0.875</v>
      </c>
      <c r="F58" s="23" t="s">
        <v>24</v>
      </c>
      <c r="G58" s="13"/>
      <c r="H58" s="6" t="s">
        <v>132</v>
      </c>
      <c r="I58" s="24" t="s">
        <v>21</v>
      </c>
      <c r="J58" s="25">
        <v>50312.0</v>
      </c>
      <c r="K58" s="26">
        <v>0.1673611111111111</v>
      </c>
      <c r="L58" s="17" t="s">
        <v>53</v>
      </c>
      <c r="M58" s="1">
        <f t="shared" si="1"/>
        <v>4</v>
      </c>
      <c r="N58" s="1">
        <f t="shared" si="2"/>
        <v>1</v>
      </c>
      <c r="O58" s="1" t="str">
        <f t="shared" si="3"/>
        <v>41</v>
      </c>
      <c r="P58" s="1" t="str">
        <f t="shared" si="4"/>
        <v>WIN</v>
      </c>
      <c r="Q58" s="1">
        <f t="shared" si="5"/>
        <v>1</v>
      </c>
    </row>
    <row r="59" ht="15.75" customHeight="1">
      <c r="A59" s="24" t="s">
        <v>17</v>
      </c>
      <c r="B59" s="18" t="s">
        <v>133</v>
      </c>
      <c r="C59" s="10" t="s">
        <v>23</v>
      </c>
      <c r="D59" s="19">
        <v>45602.0</v>
      </c>
      <c r="E59" s="22">
        <v>0.875</v>
      </c>
      <c r="F59" s="23" t="s">
        <v>19</v>
      </c>
      <c r="G59" s="13"/>
      <c r="H59" s="1" t="s">
        <v>134</v>
      </c>
      <c r="I59" s="24" t="s">
        <v>21</v>
      </c>
      <c r="J59" s="25">
        <v>48886.0</v>
      </c>
      <c r="K59" s="26">
        <v>0.08680555555555555</v>
      </c>
      <c r="L59" s="17" t="s">
        <v>53</v>
      </c>
      <c r="M59" s="1">
        <f t="shared" si="1"/>
        <v>2</v>
      </c>
      <c r="N59" s="1">
        <f t="shared" si="2"/>
        <v>5</v>
      </c>
      <c r="O59" s="1" t="str">
        <f t="shared" si="3"/>
        <v>25</v>
      </c>
      <c r="P59" s="1" t="str">
        <f t="shared" si="4"/>
        <v>WIN</v>
      </c>
      <c r="Q59" s="1">
        <f t="shared" si="5"/>
        <v>1</v>
      </c>
    </row>
    <row r="60" ht="15.75" customHeight="1">
      <c r="A60" s="24" t="s">
        <v>17</v>
      </c>
      <c r="B60" s="18" t="s">
        <v>135</v>
      </c>
      <c r="C60" s="10" t="s">
        <v>26</v>
      </c>
      <c r="D60" s="21">
        <v>45622.0</v>
      </c>
      <c r="E60" s="22">
        <v>0.875</v>
      </c>
      <c r="F60" s="23" t="s">
        <v>24</v>
      </c>
      <c r="G60" s="13"/>
      <c r="H60" s="1" t="s">
        <v>136</v>
      </c>
      <c r="I60" s="24" t="s">
        <v>21</v>
      </c>
      <c r="J60" s="25">
        <v>46317.0</v>
      </c>
      <c r="K60" s="26">
        <v>0.125</v>
      </c>
      <c r="L60" s="17" t="s">
        <v>53</v>
      </c>
      <c r="M60" s="1">
        <f t="shared" si="1"/>
        <v>3</v>
      </c>
      <c r="N60" s="1">
        <f t="shared" si="2"/>
        <v>0</v>
      </c>
      <c r="O60" s="1" t="str">
        <f t="shared" si="3"/>
        <v>30</v>
      </c>
      <c r="P60" s="1" t="str">
        <f t="shared" si="4"/>
        <v>WIN</v>
      </c>
      <c r="Q60" s="1">
        <f t="shared" si="5"/>
        <v>1</v>
      </c>
    </row>
    <row r="61" ht="15.75" customHeight="1">
      <c r="A61" s="24" t="s">
        <v>17</v>
      </c>
      <c r="B61" s="18" t="s">
        <v>137</v>
      </c>
      <c r="C61" s="10" t="s">
        <v>23</v>
      </c>
      <c r="D61" s="21">
        <v>45637.0</v>
      </c>
      <c r="E61" s="22">
        <v>0.875</v>
      </c>
      <c r="F61" s="23" t="s">
        <v>19</v>
      </c>
      <c r="G61" s="13"/>
      <c r="H61" s="1" t="s">
        <v>138</v>
      </c>
      <c r="I61" s="24" t="s">
        <v>21</v>
      </c>
      <c r="J61" s="27">
        <v>81365.0</v>
      </c>
      <c r="K61" s="26">
        <v>0.08541666666666667</v>
      </c>
      <c r="L61" s="17" t="s">
        <v>53</v>
      </c>
      <c r="M61" s="1">
        <f t="shared" si="1"/>
        <v>2</v>
      </c>
      <c r="N61" s="1">
        <f t="shared" si="2"/>
        <v>3</v>
      </c>
      <c r="O61" s="1" t="str">
        <f t="shared" si="3"/>
        <v>23</v>
      </c>
      <c r="P61" s="1" t="str">
        <f t="shared" si="4"/>
        <v>WIN</v>
      </c>
      <c r="Q61" s="1">
        <f t="shared" si="5"/>
        <v>1</v>
      </c>
    </row>
    <row r="62" ht="15.75" customHeight="1">
      <c r="A62" s="24" t="s">
        <v>17</v>
      </c>
      <c r="B62" s="18" t="s">
        <v>139</v>
      </c>
      <c r="C62" s="10" t="s">
        <v>26</v>
      </c>
      <c r="D62" s="19">
        <v>45678.0</v>
      </c>
      <c r="E62" s="22">
        <v>0.875</v>
      </c>
      <c r="F62" s="23" t="s">
        <v>19</v>
      </c>
      <c r="G62" s="13"/>
      <c r="H62" s="1" t="s">
        <v>140</v>
      </c>
      <c r="I62" s="24" t="s">
        <v>21</v>
      </c>
      <c r="J62" s="25">
        <v>63225.0</v>
      </c>
      <c r="K62" s="26">
        <v>0.1701388888888889</v>
      </c>
      <c r="L62" s="17" t="s">
        <v>53</v>
      </c>
      <c r="M62" s="1">
        <f t="shared" si="1"/>
        <v>4</v>
      </c>
      <c r="N62" s="1">
        <f t="shared" si="2"/>
        <v>5</v>
      </c>
      <c r="O62" s="1" t="str">
        <f t="shared" si="3"/>
        <v>45</v>
      </c>
      <c r="P62" s="1" t="str">
        <f t="shared" si="4"/>
        <v>WIN</v>
      </c>
      <c r="Q62" s="1">
        <f t="shared" si="5"/>
        <v>1</v>
      </c>
    </row>
    <row r="63" ht="15.75" customHeight="1">
      <c r="A63" s="24" t="s">
        <v>17</v>
      </c>
      <c r="B63" s="18" t="s">
        <v>141</v>
      </c>
      <c r="C63" s="10" t="s">
        <v>23</v>
      </c>
      <c r="D63" s="19">
        <v>45686.0</v>
      </c>
      <c r="E63" s="22">
        <v>0.875</v>
      </c>
      <c r="F63" s="23" t="s">
        <v>24</v>
      </c>
      <c r="G63" s="13"/>
      <c r="H63" s="1" t="s">
        <v>142</v>
      </c>
      <c r="I63" s="24" t="s">
        <v>21</v>
      </c>
      <c r="J63" s="25">
        <v>42728.0</v>
      </c>
      <c r="K63" s="26">
        <v>0.08472222222222223</v>
      </c>
      <c r="L63" s="17" t="s">
        <v>53</v>
      </c>
      <c r="M63" s="1">
        <f t="shared" si="1"/>
        <v>2</v>
      </c>
      <c r="N63" s="1">
        <f t="shared" si="2"/>
        <v>2</v>
      </c>
      <c r="O63" s="1" t="str">
        <f t="shared" si="3"/>
        <v>22</v>
      </c>
      <c r="P63" s="1" t="str">
        <f t="shared" si="4"/>
        <v>DRAW</v>
      </c>
      <c r="Q63" s="1">
        <f t="shared" si="5"/>
        <v>0</v>
      </c>
    </row>
    <row r="64" ht="15.75" customHeight="1">
      <c r="A64" s="24" t="s">
        <v>143</v>
      </c>
      <c r="B64" s="18" t="s">
        <v>144</v>
      </c>
      <c r="C64" s="10" t="s">
        <v>23</v>
      </c>
      <c r="D64" s="19">
        <v>45721.0</v>
      </c>
      <c r="E64" s="22">
        <v>0.875</v>
      </c>
      <c r="F64" s="23" t="s">
        <v>19</v>
      </c>
      <c r="G64" s="13"/>
      <c r="H64" s="1" t="s">
        <v>140</v>
      </c>
      <c r="I64" s="24" t="s">
        <v>59</v>
      </c>
      <c r="J64" s="25">
        <v>62437.0</v>
      </c>
      <c r="K64" s="26">
        <v>6.944444444444445E-4</v>
      </c>
      <c r="L64" s="17" t="s">
        <v>53</v>
      </c>
      <c r="M64" s="1">
        <f t="shared" si="1"/>
        <v>0</v>
      </c>
      <c r="N64" s="1">
        <f t="shared" si="2"/>
        <v>1</v>
      </c>
      <c r="O64" s="1" t="str">
        <f t="shared" si="3"/>
        <v>01</v>
      </c>
      <c r="P64" s="1" t="str">
        <f t="shared" si="4"/>
        <v>WIN</v>
      </c>
      <c r="Q64" s="1">
        <f t="shared" si="5"/>
        <v>1</v>
      </c>
    </row>
    <row r="65" ht="15.75" customHeight="1">
      <c r="A65" s="24" t="s">
        <v>145</v>
      </c>
      <c r="B65" s="18" t="s">
        <v>146</v>
      </c>
      <c r="C65" s="10" t="s">
        <v>26</v>
      </c>
      <c r="D65" s="19">
        <v>45727.0</v>
      </c>
      <c r="E65" s="22">
        <v>0.78125</v>
      </c>
      <c r="F65" s="23" t="s">
        <v>24</v>
      </c>
      <c r="G65" s="13"/>
      <c r="H65" s="1" t="s">
        <v>140</v>
      </c>
      <c r="I65" s="24" t="s">
        <v>21</v>
      </c>
      <c r="J65" s="25">
        <v>47111.0</v>
      </c>
      <c r="K65" s="26">
        <v>0.12569444444444444</v>
      </c>
      <c r="L65" s="17" t="s">
        <v>53</v>
      </c>
      <c r="M65" s="1">
        <f t="shared" si="1"/>
        <v>3</v>
      </c>
      <c r="N65" s="1">
        <f t="shared" si="2"/>
        <v>1</v>
      </c>
      <c r="O65" s="1" t="str">
        <f t="shared" si="3"/>
        <v>31</v>
      </c>
      <c r="P65" s="1" t="str">
        <f t="shared" si="4"/>
        <v>WIN</v>
      </c>
      <c r="Q65" s="1">
        <f t="shared" si="5"/>
        <v>1</v>
      </c>
    </row>
    <row r="66" ht="15.75" customHeight="1">
      <c r="A66" s="24" t="s">
        <v>147</v>
      </c>
      <c r="B66" s="18" t="s">
        <v>148</v>
      </c>
      <c r="C66" s="10" t="s">
        <v>23</v>
      </c>
      <c r="D66" s="19">
        <v>45756.0</v>
      </c>
      <c r="E66" s="22">
        <v>0.875</v>
      </c>
      <c r="F66" s="23" t="s">
        <v>24</v>
      </c>
      <c r="G66" s="13"/>
      <c r="H66" s="1" t="s">
        <v>138</v>
      </c>
      <c r="I66" s="24" t="s">
        <v>21</v>
      </c>
      <c r="J66" s="25">
        <v>49760.0</v>
      </c>
      <c r="K66" s="26">
        <v>0.16666666666666666</v>
      </c>
      <c r="L66" s="17" t="s">
        <v>53</v>
      </c>
      <c r="M66" s="1">
        <f t="shared" si="1"/>
        <v>4</v>
      </c>
      <c r="N66" s="1">
        <f t="shared" si="2"/>
        <v>0</v>
      </c>
      <c r="O66" s="1" t="str">
        <f t="shared" si="3"/>
        <v>40</v>
      </c>
      <c r="P66" s="1" t="str">
        <f t="shared" si="4"/>
        <v>WIN</v>
      </c>
      <c r="Q66" s="1">
        <f t="shared" si="5"/>
        <v>1</v>
      </c>
    </row>
    <row r="67" ht="15.75" customHeight="1">
      <c r="A67" s="24" t="s">
        <v>149</v>
      </c>
      <c r="B67" s="18" t="s">
        <v>150</v>
      </c>
      <c r="C67" s="10" t="s">
        <v>26</v>
      </c>
      <c r="D67" s="19">
        <v>45762.0</v>
      </c>
      <c r="E67" s="22">
        <v>0.875</v>
      </c>
      <c r="F67" s="23" t="s">
        <v>19</v>
      </c>
      <c r="G67" s="13"/>
      <c r="H67" s="1" t="s">
        <v>138</v>
      </c>
      <c r="I67" s="24" t="s">
        <v>21</v>
      </c>
      <c r="J67" s="27">
        <v>81365.0</v>
      </c>
      <c r="K67" s="26">
        <v>0.12569444444444444</v>
      </c>
      <c r="L67" s="17" t="s">
        <v>53</v>
      </c>
      <c r="M67" s="1">
        <f t="shared" si="1"/>
        <v>3</v>
      </c>
      <c r="N67" s="1">
        <f t="shared" si="2"/>
        <v>1</v>
      </c>
      <c r="O67" s="1" t="str">
        <f t="shared" si="3"/>
        <v>31</v>
      </c>
      <c r="P67" s="1" t="str">
        <f t="shared" si="4"/>
        <v>LOSS</v>
      </c>
      <c r="Q67" s="1">
        <f t="shared" si="5"/>
        <v>-1</v>
      </c>
    </row>
    <row r="68" ht="15.75" customHeight="1">
      <c r="A68" s="24" t="s">
        <v>151</v>
      </c>
      <c r="B68" s="18" t="s">
        <v>152</v>
      </c>
      <c r="C68" s="10" t="s">
        <v>23</v>
      </c>
      <c r="D68" s="19">
        <v>45777.0</v>
      </c>
      <c r="E68" s="22">
        <v>0.875</v>
      </c>
      <c r="F68" s="23" t="s">
        <v>24</v>
      </c>
      <c r="G68" s="13"/>
      <c r="H68" s="1" t="s">
        <v>153</v>
      </c>
      <c r="I68" s="24" t="s">
        <v>21</v>
      </c>
      <c r="J68" s="25">
        <v>50314.0</v>
      </c>
      <c r="K68" s="26">
        <v>0.12708333333333333</v>
      </c>
      <c r="L68" s="17" t="s">
        <v>53</v>
      </c>
      <c r="M68" s="1">
        <f t="shared" si="1"/>
        <v>3</v>
      </c>
      <c r="N68" s="1">
        <f t="shared" si="2"/>
        <v>3</v>
      </c>
      <c r="O68" s="1" t="str">
        <f t="shared" si="3"/>
        <v>33</v>
      </c>
      <c r="P68" s="1" t="str">
        <f t="shared" si="4"/>
        <v>DRAW</v>
      </c>
      <c r="Q68" s="1">
        <f t="shared" si="5"/>
        <v>0</v>
      </c>
    </row>
    <row r="69" ht="15.75" customHeight="1">
      <c r="A69" s="24" t="s">
        <v>154</v>
      </c>
      <c r="B69" s="18" t="s">
        <v>155</v>
      </c>
      <c r="C69" s="10" t="s">
        <v>26</v>
      </c>
      <c r="D69" s="19">
        <v>45783.0</v>
      </c>
      <c r="E69" s="22">
        <v>0.875</v>
      </c>
      <c r="F69" s="23" t="s">
        <v>19</v>
      </c>
      <c r="G69" s="13"/>
      <c r="H69" s="1" t="s">
        <v>153</v>
      </c>
      <c r="I69" s="24" t="s">
        <v>21</v>
      </c>
      <c r="J69" s="27">
        <v>75504.0</v>
      </c>
      <c r="K69" s="28" t="s">
        <v>156</v>
      </c>
      <c r="L69" s="17" t="s">
        <v>53</v>
      </c>
      <c r="M69" s="6">
        <v>4.0</v>
      </c>
      <c r="N69" s="6">
        <v>3.0</v>
      </c>
      <c r="O69" s="1" t="str">
        <f t="shared" si="3"/>
        <v>43</v>
      </c>
      <c r="P69" s="1" t="str">
        <f t="shared" si="4"/>
        <v>LOSS</v>
      </c>
      <c r="Q69" s="1">
        <f t="shared" si="5"/>
        <v>-1</v>
      </c>
    </row>
    <row r="70" ht="15.75" customHeight="1">
      <c r="A70" s="24" t="s">
        <v>157</v>
      </c>
      <c r="B70" s="18" t="s">
        <v>158</v>
      </c>
      <c r="C70" s="10" t="s">
        <v>32</v>
      </c>
      <c r="D70" s="19">
        <v>45661.0</v>
      </c>
      <c r="E70" s="22">
        <v>0.7916666666666666</v>
      </c>
      <c r="F70" s="23" t="s">
        <v>19</v>
      </c>
      <c r="G70" s="13"/>
      <c r="H70" s="1" t="s">
        <v>159</v>
      </c>
      <c r="I70" s="24" t="s">
        <v>59</v>
      </c>
      <c r="J70" s="25">
        <v>5500.0</v>
      </c>
      <c r="K70" s="26">
        <v>0.002777777777777778</v>
      </c>
      <c r="L70" s="17" t="s">
        <v>53</v>
      </c>
      <c r="M70" s="1">
        <f t="shared" ref="M70:M74" si="6">+HOUR(K70)</f>
        <v>0</v>
      </c>
      <c r="N70" s="1">
        <f t="shared" ref="N70:N74" si="7">+MINUTE(K70)</f>
        <v>4</v>
      </c>
      <c r="O70" s="1" t="str">
        <f t="shared" si="3"/>
        <v>04</v>
      </c>
      <c r="P70" s="1" t="str">
        <f t="shared" si="4"/>
        <v>WIN</v>
      </c>
      <c r="Q70" s="1">
        <f t="shared" si="5"/>
        <v>1</v>
      </c>
    </row>
    <row r="71" ht="15.75" customHeight="1">
      <c r="A71" s="24" t="s">
        <v>160</v>
      </c>
      <c r="B71" s="18" t="s">
        <v>161</v>
      </c>
      <c r="C71" s="10" t="s">
        <v>23</v>
      </c>
      <c r="D71" s="19">
        <v>45672.0</v>
      </c>
      <c r="E71" s="22">
        <v>0.875</v>
      </c>
      <c r="F71" s="23" t="s">
        <v>24</v>
      </c>
      <c r="G71" s="13"/>
      <c r="H71" s="1" t="s">
        <v>162</v>
      </c>
      <c r="I71" s="24" t="s">
        <v>59</v>
      </c>
      <c r="J71" s="25">
        <v>46019.0</v>
      </c>
      <c r="K71" s="26">
        <v>0.20902777777777778</v>
      </c>
      <c r="L71" s="17" t="s">
        <v>53</v>
      </c>
      <c r="M71" s="1">
        <f t="shared" si="6"/>
        <v>5</v>
      </c>
      <c r="N71" s="1">
        <f t="shared" si="7"/>
        <v>1</v>
      </c>
      <c r="O71" s="1" t="str">
        <f t="shared" si="3"/>
        <v>51</v>
      </c>
      <c r="P71" s="1" t="str">
        <f t="shared" si="4"/>
        <v>WIN</v>
      </c>
      <c r="Q71" s="1">
        <f t="shared" si="5"/>
        <v>1</v>
      </c>
    </row>
    <row r="72" ht="15.75" customHeight="1">
      <c r="A72" s="24" t="s">
        <v>163</v>
      </c>
      <c r="B72" s="18" t="s">
        <v>164</v>
      </c>
      <c r="C72" s="10" t="s">
        <v>18</v>
      </c>
      <c r="D72" s="19">
        <v>45694.0</v>
      </c>
      <c r="E72" s="22">
        <v>0.8958333333333334</v>
      </c>
      <c r="F72" s="23" t="s">
        <v>19</v>
      </c>
      <c r="G72" s="13"/>
      <c r="H72" s="1" t="s">
        <v>165</v>
      </c>
      <c r="I72" s="24" t="s">
        <v>59</v>
      </c>
      <c r="J72" s="25">
        <v>46806.0</v>
      </c>
      <c r="K72" s="26">
        <v>0.003472222222222222</v>
      </c>
      <c r="L72" s="17" t="s">
        <v>53</v>
      </c>
      <c r="M72" s="1">
        <f t="shared" si="6"/>
        <v>0</v>
      </c>
      <c r="N72" s="1">
        <f t="shared" si="7"/>
        <v>5</v>
      </c>
      <c r="O72" s="1" t="str">
        <f t="shared" si="3"/>
        <v>05</v>
      </c>
      <c r="P72" s="1" t="str">
        <f t="shared" si="4"/>
        <v>WIN</v>
      </c>
      <c r="Q72" s="1">
        <f t="shared" si="5"/>
        <v>1</v>
      </c>
    </row>
    <row r="73" ht="15.75" customHeight="1">
      <c r="A73" s="24" t="s">
        <v>151</v>
      </c>
      <c r="B73" s="18" t="s">
        <v>166</v>
      </c>
      <c r="C73" s="10" t="s">
        <v>26</v>
      </c>
      <c r="D73" s="19">
        <v>45713.0</v>
      </c>
      <c r="E73" s="22">
        <v>0.8958333333333334</v>
      </c>
      <c r="F73" s="23" t="s">
        <v>24</v>
      </c>
      <c r="G73" s="13"/>
      <c r="H73" s="1" t="s">
        <v>167</v>
      </c>
      <c r="I73" s="24" t="s">
        <v>21</v>
      </c>
      <c r="J73" s="25">
        <v>40915.0</v>
      </c>
      <c r="K73" s="26">
        <v>0.16944444444444445</v>
      </c>
      <c r="L73" s="17" t="s">
        <v>53</v>
      </c>
      <c r="M73" s="1">
        <f t="shared" si="6"/>
        <v>4</v>
      </c>
      <c r="N73" s="1">
        <f t="shared" si="7"/>
        <v>4</v>
      </c>
      <c r="O73" s="1" t="str">
        <f t="shared" si="3"/>
        <v>44</v>
      </c>
      <c r="P73" s="1" t="str">
        <f t="shared" si="4"/>
        <v>DRAW</v>
      </c>
      <c r="Q73" s="1">
        <f t="shared" si="5"/>
        <v>0</v>
      </c>
    </row>
    <row r="74" ht="15.75" customHeight="1">
      <c r="A74" s="24" t="s">
        <v>154</v>
      </c>
      <c r="B74" s="18" t="s">
        <v>168</v>
      </c>
      <c r="C74" s="10" t="s">
        <v>23</v>
      </c>
      <c r="D74" s="19">
        <v>45749.0</v>
      </c>
      <c r="E74" s="22">
        <v>0.8958333333333334</v>
      </c>
      <c r="F74" s="23" t="s">
        <v>19</v>
      </c>
      <c r="G74" s="13"/>
      <c r="H74" s="1" t="s">
        <v>167</v>
      </c>
      <c r="I74" s="24" t="s">
        <v>21</v>
      </c>
      <c r="J74" s="25">
        <v>60739.0</v>
      </c>
      <c r="K74" s="26">
        <v>6.944444444444445E-4</v>
      </c>
      <c r="L74" s="17" t="s">
        <v>53</v>
      </c>
      <c r="M74" s="1">
        <f t="shared" si="6"/>
        <v>0</v>
      </c>
      <c r="N74" s="1">
        <f t="shared" si="7"/>
        <v>1</v>
      </c>
      <c r="O74" s="1" t="str">
        <f t="shared" si="3"/>
        <v>01</v>
      </c>
      <c r="P74" s="1" t="str">
        <f t="shared" si="4"/>
        <v>WIN</v>
      </c>
      <c r="Q74" s="1">
        <f t="shared" si="5"/>
        <v>1</v>
      </c>
    </row>
    <row r="75" ht="15.75" customHeight="1">
      <c r="A75" s="24" t="s">
        <v>169</v>
      </c>
      <c r="B75" s="18" t="s">
        <v>170</v>
      </c>
      <c r="C75" s="10" t="s">
        <v>32</v>
      </c>
      <c r="D75" s="19">
        <v>45773.0</v>
      </c>
      <c r="E75" s="22">
        <v>0.9166666666666666</v>
      </c>
      <c r="F75" s="23" t="s">
        <v>24</v>
      </c>
      <c r="G75" s="13"/>
      <c r="H75" s="1" t="s">
        <v>171</v>
      </c>
      <c r="I75" s="24" t="s">
        <v>21</v>
      </c>
      <c r="J75" s="25">
        <v>70000.0</v>
      </c>
      <c r="K75" s="28" t="s">
        <v>172</v>
      </c>
      <c r="L75" s="17" t="s">
        <v>53</v>
      </c>
      <c r="M75" s="6">
        <v>3.0</v>
      </c>
      <c r="N75" s="6">
        <v>2.0</v>
      </c>
      <c r="O75" s="1" t="str">
        <f t="shared" si="3"/>
        <v>32</v>
      </c>
      <c r="P75" s="1" t="str">
        <f t="shared" si="4"/>
        <v>WIN</v>
      </c>
      <c r="Q75" s="1">
        <f t="shared" si="5"/>
        <v>1</v>
      </c>
    </row>
    <row r="76" ht="15.75" customHeight="1">
      <c r="A76" s="1">
        <v>1.0</v>
      </c>
      <c r="B76" s="18" t="s">
        <v>173</v>
      </c>
      <c r="C76" s="10" t="s">
        <v>29</v>
      </c>
      <c r="D76" s="19">
        <v>45151.0</v>
      </c>
      <c r="E76" s="22">
        <v>0.8958333333333334</v>
      </c>
      <c r="F76" s="23" t="s">
        <v>19</v>
      </c>
      <c r="G76" s="13" t="s">
        <v>33</v>
      </c>
      <c r="H76" s="1" t="s">
        <v>174</v>
      </c>
      <c r="I76" s="24" t="s">
        <v>21</v>
      </c>
      <c r="J76" s="25">
        <v>13410.0</v>
      </c>
      <c r="K76" s="26">
        <v>0.0</v>
      </c>
      <c r="L76" s="17" t="s">
        <v>175</v>
      </c>
      <c r="M76" s="1">
        <f t="shared" ref="M76:M125" si="8">+HOUR(K76)</f>
        <v>0</v>
      </c>
      <c r="N76" s="1">
        <f t="shared" ref="N76:N125" si="9">+MINUTE(K76)</f>
        <v>0</v>
      </c>
      <c r="O76" s="1" t="str">
        <f t="shared" si="3"/>
        <v>00</v>
      </c>
      <c r="P76" s="1" t="str">
        <f t="shared" si="4"/>
        <v>DRAW</v>
      </c>
      <c r="Q76" s="1">
        <f t="shared" si="5"/>
        <v>0</v>
      </c>
    </row>
    <row r="77" ht="15.75" customHeight="1">
      <c r="A77" s="1">
        <v>2.0</v>
      </c>
      <c r="B77" s="18" t="s">
        <v>176</v>
      </c>
      <c r="C77" s="10" t="s">
        <v>29</v>
      </c>
      <c r="D77" s="19">
        <v>45158.0</v>
      </c>
      <c r="E77" s="22">
        <v>0.8125</v>
      </c>
      <c r="F77" s="23" t="s">
        <v>24</v>
      </c>
      <c r="G77" s="13" t="s">
        <v>177</v>
      </c>
      <c r="H77" s="1" t="s">
        <v>178</v>
      </c>
      <c r="I77" s="24" t="s">
        <v>179</v>
      </c>
      <c r="J77" s="25">
        <v>39603.0</v>
      </c>
      <c r="K77" s="26">
        <v>0.08333333333333333</v>
      </c>
      <c r="L77" s="17" t="s">
        <v>175</v>
      </c>
      <c r="M77" s="1">
        <f t="shared" si="8"/>
        <v>2</v>
      </c>
      <c r="N77" s="1">
        <f t="shared" si="9"/>
        <v>0</v>
      </c>
      <c r="O77" s="1" t="str">
        <f t="shared" si="3"/>
        <v>20</v>
      </c>
      <c r="P77" s="1" t="str">
        <f t="shared" si="4"/>
        <v>WIN</v>
      </c>
      <c r="Q77" s="1">
        <f t="shared" si="5"/>
        <v>1</v>
      </c>
    </row>
    <row r="78" ht="15.75" customHeight="1">
      <c r="A78" s="1">
        <v>3.0</v>
      </c>
      <c r="B78" s="18" t="s">
        <v>180</v>
      </c>
      <c r="C78" s="10" t="s">
        <v>29</v>
      </c>
      <c r="D78" s="19">
        <v>45165.0</v>
      </c>
      <c r="E78" s="22">
        <v>0.7291666666666666</v>
      </c>
      <c r="F78" s="23" t="s">
        <v>19</v>
      </c>
      <c r="G78" s="13" t="s">
        <v>181</v>
      </c>
      <c r="H78" s="1" t="s">
        <v>182</v>
      </c>
      <c r="I78" s="24" t="s">
        <v>59</v>
      </c>
      <c r="J78" s="25">
        <v>21679.0</v>
      </c>
      <c r="K78" s="26">
        <v>0.12777777777777777</v>
      </c>
      <c r="L78" s="17" t="s">
        <v>175</v>
      </c>
      <c r="M78" s="1">
        <f t="shared" si="8"/>
        <v>3</v>
      </c>
      <c r="N78" s="1">
        <f t="shared" si="9"/>
        <v>4</v>
      </c>
      <c r="O78" s="1" t="str">
        <f t="shared" si="3"/>
        <v>34</v>
      </c>
      <c r="P78" s="1" t="str">
        <f t="shared" si="4"/>
        <v>WIN</v>
      </c>
      <c r="Q78" s="1">
        <f t="shared" si="5"/>
        <v>1</v>
      </c>
    </row>
    <row r="79" ht="15.75" customHeight="1">
      <c r="A79" s="1">
        <v>4.0</v>
      </c>
      <c r="B79" s="18" t="s">
        <v>183</v>
      </c>
      <c r="C79" s="10" t="s">
        <v>29</v>
      </c>
      <c r="D79" s="19">
        <v>45172.0</v>
      </c>
      <c r="E79" s="22">
        <v>0.875</v>
      </c>
      <c r="F79" s="23" t="s">
        <v>19</v>
      </c>
      <c r="G79" s="13" t="s">
        <v>43</v>
      </c>
      <c r="H79" s="1" t="s">
        <v>67</v>
      </c>
      <c r="I79" s="24" t="s">
        <v>59</v>
      </c>
      <c r="J79" s="25">
        <v>21966.0</v>
      </c>
      <c r="K79" s="26">
        <v>0.043055555555555555</v>
      </c>
      <c r="L79" s="17" t="s">
        <v>175</v>
      </c>
      <c r="M79" s="1">
        <f t="shared" si="8"/>
        <v>1</v>
      </c>
      <c r="N79" s="1">
        <f t="shared" si="9"/>
        <v>2</v>
      </c>
      <c r="O79" s="1" t="str">
        <f t="shared" si="3"/>
        <v>12</v>
      </c>
      <c r="P79" s="1" t="str">
        <f t="shared" si="4"/>
        <v>WIN</v>
      </c>
      <c r="Q79" s="1">
        <f t="shared" si="5"/>
        <v>1</v>
      </c>
    </row>
    <row r="80" ht="15.75" customHeight="1">
      <c r="A80" s="1">
        <v>5.0</v>
      </c>
      <c r="B80" s="18" t="s">
        <v>184</v>
      </c>
      <c r="C80" s="10" t="s">
        <v>32</v>
      </c>
      <c r="D80" s="19">
        <v>45185.0</v>
      </c>
      <c r="E80" s="22">
        <v>0.875</v>
      </c>
      <c r="F80" s="23" t="s">
        <v>24</v>
      </c>
      <c r="G80" s="13" t="s">
        <v>43</v>
      </c>
      <c r="H80" s="1" t="s">
        <v>185</v>
      </c>
      <c r="I80" s="24" t="s">
        <v>59</v>
      </c>
      <c r="J80" s="25">
        <v>45055.0</v>
      </c>
      <c r="K80" s="26">
        <v>0.20833333333333334</v>
      </c>
      <c r="L80" s="17" t="s">
        <v>175</v>
      </c>
      <c r="M80" s="1">
        <f t="shared" si="8"/>
        <v>5</v>
      </c>
      <c r="N80" s="1">
        <f t="shared" si="9"/>
        <v>0</v>
      </c>
      <c r="O80" s="1" t="str">
        <f t="shared" si="3"/>
        <v>50</v>
      </c>
      <c r="P80" s="1" t="str">
        <f t="shared" si="4"/>
        <v>WIN</v>
      </c>
      <c r="Q80" s="1">
        <f t="shared" si="5"/>
        <v>1</v>
      </c>
    </row>
    <row r="81" ht="15.75" customHeight="1">
      <c r="A81" s="1">
        <v>6.0</v>
      </c>
      <c r="B81" s="18" t="s">
        <v>186</v>
      </c>
      <c r="C81" s="10" t="s">
        <v>32</v>
      </c>
      <c r="D81" s="19">
        <v>45192.0</v>
      </c>
      <c r="E81" s="22">
        <v>0.7708333333333334</v>
      </c>
      <c r="F81" s="23" t="s">
        <v>24</v>
      </c>
      <c r="G81" s="13" t="s">
        <v>33</v>
      </c>
      <c r="H81" s="1" t="s">
        <v>187</v>
      </c>
      <c r="I81" s="24" t="s">
        <v>59</v>
      </c>
      <c r="J81" s="25">
        <v>43272.0</v>
      </c>
      <c r="K81" s="26">
        <v>0.12638888888888888</v>
      </c>
      <c r="L81" s="17" t="s">
        <v>175</v>
      </c>
      <c r="M81" s="1">
        <f t="shared" si="8"/>
        <v>3</v>
      </c>
      <c r="N81" s="1">
        <f t="shared" si="9"/>
        <v>2</v>
      </c>
      <c r="O81" s="1" t="str">
        <f t="shared" si="3"/>
        <v>32</v>
      </c>
      <c r="P81" s="1" t="str">
        <f t="shared" si="4"/>
        <v>WIN</v>
      </c>
      <c r="Q81" s="1">
        <f t="shared" si="5"/>
        <v>1</v>
      </c>
    </row>
    <row r="82" ht="15.75" customHeight="1">
      <c r="A82" s="1">
        <v>7.0</v>
      </c>
      <c r="B82" s="18" t="s">
        <v>188</v>
      </c>
      <c r="C82" s="10" t="s">
        <v>26</v>
      </c>
      <c r="D82" s="19">
        <v>45195.0</v>
      </c>
      <c r="E82" s="22">
        <v>0.8958333333333334</v>
      </c>
      <c r="F82" s="23" t="s">
        <v>19</v>
      </c>
      <c r="G82" s="13" t="s">
        <v>30</v>
      </c>
      <c r="H82" s="1" t="s">
        <v>189</v>
      </c>
      <c r="I82" s="24" t="s">
        <v>59</v>
      </c>
      <c r="J82" s="25">
        <v>19939.0</v>
      </c>
      <c r="K82" s="26">
        <v>0.08472222222222223</v>
      </c>
      <c r="L82" s="17" t="s">
        <v>175</v>
      </c>
      <c r="M82" s="1">
        <f t="shared" si="8"/>
        <v>2</v>
      </c>
      <c r="N82" s="1">
        <f t="shared" si="9"/>
        <v>2</v>
      </c>
      <c r="O82" s="1" t="str">
        <f t="shared" si="3"/>
        <v>22</v>
      </c>
      <c r="P82" s="1" t="str">
        <f t="shared" si="4"/>
        <v>DRAW</v>
      </c>
      <c r="Q82" s="1">
        <f t="shared" si="5"/>
        <v>0</v>
      </c>
    </row>
    <row r="83" ht="15.75" customHeight="1">
      <c r="A83" s="1">
        <v>8.0</v>
      </c>
      <c r="B83" s="18" t="s">
        <v>190</v>
      </c>
      <c r="C83" s="10" t="s">
        <v>191</v>
      </c>
      <c r="D83" s="19">
        <v>45198.0</v>
      </c>
      <c r="E83" s="22">
        <v>0.875</v>
      </c>
      <c r="F83" s="23" t="s">
        <v>24</v>
      </c>
      <c r="G83" s="13" t="s">
        <v>87</v>
      </c>
      <c r="H83" s="1" t="s">
        <v>71</v>
      </c>
      <c r="I83" s="24" t="s">
        <v>59</v>
      </c>
      <c r="J83" s="25">
        <v>41116.0</v>
      </c>
      <c r="K83" s="26">
        <v>0.041666666666666664</v>
      </c>
      <c r="L83" s="17" t="s">
        <v>175</v>
      </c>
      <c r="M83" s="1">
        <f t="shared" si="8"/>
        <v>1</v>
      </c>
      <c r="N83" s="1">
        <f t="shared" si="9"/>
        <v>0</v>
      </c>
      <c r="O83" s="1" t="str">
        <f t="shared" si="3"/>
        <v>10</v>
      </c>
      <c r="P83" s="1" t="str">
        <f t="shared" si="4"/>
        <v>WIN</v>
      </c>
      <c r="Q83" s="1">
        <f t="shared" si="5"/>
        <v>1</v>
      </c>
    </row>
    <row r="84" ht="15.75" customHeight="1">
      <c r="A84" s="1">
        <v>9.0</v>
      </c>
      <c r="B84" s="18" t="s">
        <v>192</v>
      </c>
      <c r="C84" s="10" t="s">
        <v>29</v>
      </c>
      <c r="D84" s="19">
        <v>45207.0</v>
      </c>
      <c r="E84" s="22">
        <v>0.875</v>
      </c>
      <c r="F84" s="23" t="s">
        <v>19</v>
      </c>
      <c r="G84" s="13" t="s">
        <v>33</v>
      </c>
      <c r="H84" s="1" t="s">
        <v>193</v>
      </c>
      <c r="I84" s="24" t="s">
        <v>59</v>
      </c>
      <c r="J84" s="25">
        <v>20354.0</v>
      </c>
      <c r="K84" s="26">
        <v>0.08472222222222223</v>
      </c>
      <c r="L84" s="17" t="s">
        <v>175</v>
      </c>
      <c r="M84" s="1">
        <f t="shared" si="8"/>
        <v>2</v>
      </c>
      <c r="N84" s="1">
        <f t="shared" si="9"/>
        <v>2</v>
      </c>
      <c r="O84" s="1" t="str">
        <f t="shared" si="3"/>
        <v>22</v>
      </c>
      <c r="P84" s="1" t="str">
        <f t="shared" si="4"/>
        <v>DRAW</v>
      </c>
      <c r="Q84" s="1">
        <f t="shared" si="5"/>
        <v>0</v>
      </c>
    </row>
    <row r="85" ht="15.75" customHeight="1">
      <c r="A85" s="1">
        <v>10.0</v>
      </c>
      <c r="B85" s="18" t="s">
        <v>194</v>
      </c>
      <c r="C85" s="10" t="s">
        <v>29</v>
      </c>
      <c r="D85" s="21">
        <v>45221.0</v>
      </c>
      <c r="E85" s="22">
        <v>0.875</v>
      </c>
      <c r="F85" s="23" t="s">
        <v>24</v>
      </c>
      <c r="G85" s="13" t="s">
        <v>43</v>
      </c>
      <c r="H85" s="1" t="s">
        <v>195</v>
      </c>
      <c r="I85" s="24" t="s">
        <v>59</v>
      </c>
      <c r="J85" s="25">
        <v>38194.0</v>
      </c>
      <c r="K85" s="26">
        <v>0.041666666666666664</v>
      </c>
      <c r="L85" s="17" t="s">
        <v>175</v>
      </c>
      <c r="M85" s="1">
        <f t="shared" si="8"/>
        <v>1</v>
      </c>
      <c r="N85" s="1">
        <f t="shared" si="9"/>
        <v>0</v>
      </c>
      <c r="O85" s="1" t="str">
        <f t="shared" si="3"/>
        <v>10</v>
      </c>
      <c r="P85" s="1" t="str">
        <f t="shared" si="4"/>
        <v>WIN</v>
      </c>
      <c r="Q85" s="1">
        <f t="shared" si="5"/>
        <v>1</v>
      </c>
    </row>
    <row r="86" ht="15.75" customHeight="1">
      <c r="A86" s="1">
        <v>11.0</v>
      </c>
      <c r="B86" s="18" t="s">
        <v>196</v>
      </c>
      <c r="C86" s="10" t="s">
        <v>32</v>
      </c>
      <c r="D86" s="21">
        <v>45227.0</v>
      </c>
      <c r="E86" s="22">
        <v>0.6770833333333334</v>
      </c>
      <c r="F86" s="23" t="s">
        <v>24</v>
      </c>
      <c r="G86" s="13" t="s">
        <v>43</v>
      </c>
      <c r="H86" s="1" t="s">
        <v>73</v>
      </c>
      <c r="I86" s="24" t="s">
        <v>59</v>
      </c>
      <c r="J86" s="25">
        <v>50112.0</v>
      </c>
      <c r="K86" s="26">
        <v>0.043055555555555555</v>
      </c>
      <c r="L86" s="17" t="s">
        <v>175</v>
      </c>
      <c r="M86" s="1">
        <f t="shared" si="8"/>
        <v>1</v>
      </c>
      <c r="N86" s="1">
        <f t="shared" si="9"/>
        <v>2</v>
      </c>
      <c r="O86" s="1" t="str">
        <f t="shared" si="3"/>
        <v>12</v>
      </c>
      <c r="P86" s="1" t="str">
        <f t="shared" si="4"/>
        <v>LOSS</v>
      </c>
      <c r="Q86" s="1">
        <f t="shared" si="5"/>
        <v>-1</v>
      </c>
    </row>
    <row r="87" ht="15.75" customHeight="1">
      <c r="A87" s="1">
        <v>12.0</v>
      </c>
      <c r="B87" s="18" t="s">
        <v>197</v>
      </c>
      <c r="C87" s="10" t="s">
        <v>32</v>
      </c>
      <c r="D87" s="19">
        <v>45234.0</v>
      </c>
      <c r="E87" s="22">
        <v>0.875</v>
      </c>
      <c r="F87" s="23" t="s">
        <v>19</v>
      </c>
      <c r="G87" s="13" t="s">
        <v>43</v>
      </c>
      <c r="H87" s="1" t="s">
        <v>198</v>
      </c>
      <c r="I87" s="24" t="s">
        <v>21</v>
      </c>
      <c r="J87" s="25">
        <v>37555.0</v>
      </c>
      <c r="K87" s="26">
        <v>6.944444444444445E-4</v>
      </c>
      <c r="L87" s="17" t="s">
        <v>175</v>
      </c>
      <c r="M87" s="1">
        <f t="shared" si="8"/>
        <v>0</v>
      </c>
      <c r="N87" s="1">
        <f t="shared" si="9"/>
        <v>1</v>
      </c>
      <c r="O87" s="1" t="str">
        <f t="shared" si="3"/>
        <v>01</v>
      </c>
      <c r="P87" s="1" t="str">
        <f t="shared" si="4"/>
        <v>WIN</v>
      </c>
      <c r="Q87" s="1">
        <f t="shared" si="5"/>
        <v>1</v>
      </c>
    </row>
    <row r="88" ht="15.75" customHeight="1">
      <c r="A88" s="1">
        <v>13.0</v>
      </c>
      <c r="B88" s="18" t="s">
        <v>199</v>
      </c>
      <c r="C88" s="10" t="s">
        <v>29</v>
      </c>
      <c r="D88" s="21">
        <v>45242.0</v>
      </c>
      <c r="E88" s="22">
        <v>0.6770833333333334</v>
      </c>
      <c r="F88" s="23" t="s">
        <v>24</v>
      </c>
      <c r="G88" s="13" t="s">
        <v>43</v>
      </c>
      <c r="H88" s="1" t="s">
        <v>200</v>
      </c>
      <c r="I88" s="24" t="s">
        <v>59</v>
      </c>
      <c r="J88" s="25">
        <v>38133.0</v>
      </c>
      <c r="K88" s="26">
        <v>0.08402777777777778</v>
      </c>
      <c r="L88" s="17" t="s">
        <v>175</v>
      </c>
      <c r="M88" s="1">
        <f t="shared" si="8"/>
        <v>2</v>
      </c>
      <c r="N88" s="1">
        <f t="shared" si="9"/>
        <v>1</v>
      </c>
      <c r="O88" s="1" t="str">
        <f t="shared" si="3"/>
        <v>21</v>
      </c>
      <c r="P88" s="1" t="str">
        <f t="shared" si="4"/>
        <v>WIN</v>
      </c>
      <c r="Q88" s="1">
        <f t="shared" si="5"/>
        <v>1</v>
      </c>
    </row>
    <row r="89" ht="15.75" customHeight="1">
      <c r="A89" s="1">
        <v>14.0</v>
      </c>
      <c r="B89" s="18" t="s">
        <v>201</v>
      </c>
      <c r="C89" s="10" t="s">
        <v>32</v>
      </c>
      <c r="D89" s="21">
        <v>45255.0</v>
      </c>
      <c r="E89" s="22">
        <v>0.5833333333333334</v>
      </c>
      <c r="F89" s="23" t="s">
        <v>19</v>
      </c>
      <c r="G89" s="13" t="s">
        <v>43</v>
      </c>
      <c r="H89" s="1" t="s">
        <v>202</v>
      </c>
      <c r="I89" s="24" t="s">
        <v>59</v>
      </c>
      <c r="J89" s="25">
        <v>14148.0</v>
      </c>
      <c r="K89" s="26">
        <v>0.04236111111111111</v>
      </c>
      <c r="L89" s="17" t="s">
        <v>175</v>
      </c>
      <c r="M89" s="1">
        <f t="shared" si="8"/>
        <v>1</v>
      </c>
      <c r="N89" s="1">
        <f t="shared" si="9"/>
        <v>1</v>
      </c>
      <c r="O89" s="1" t="str">
        <f t="shared" si="3"/>
        <v>11</v>
      </c>
      <c r="P89" s="1" t="str">
        <f t="shared" si="4"/>
        <v>DRAW</v>
      </c>
      <c r="Q89" s="1">
        <f t="shared" si="5"/>
        <v>0</v>
      </c>
    </row>
    <row r="90" ht="15.75" customHeight="1">
      <c r="A90" s="1">
        <v>15.0</v>
      </c>
      <c r="B90" s="18" t="s">
        <v>203</v>
      </c>
      <c r="C90" s="10" t="s">
        <v>29</v>
      </c>
      <c r="D90" s="19">
        <v>45263.0</v>
      </c>
      <c r="E90" s="22">
        <v>0.875</v>
      </c>
      <c r="F90" s="23" t="s">
        <v>24</v>
      </c>
      <c r="G90" s="13" t="s">
        <v>43</v>
      </c>
      <c r="H90" s="1" t="s">
        <v>107</v>
      </c>
      <c r="I90" s="24" t="s">
        <v>59</v>
      </c>
      <c r="J90" s="25">
        <v>34568.0</v>
      </c>
      <c r="K90" s="26">
        <v>0.041666666666666664</v>
      </c>
      <c r="L90" s="17" t="s">
        <v>175</v>
      </c>
      <c r="M90" s="1">
        <f t="shared" si="8"/>
        <v>1</v>
      </c>
      <c r="N90" s="1">
        <f t="shared" si="9"/>
        <v>0</v>
      </c>
      <c r="O90" s="1" t="str">
        <f t="shared" si="3"/>
        <v>10</v>
      </c>
      <c r="P90" s="1" t="str">
        <f t="shared" si="4"/>
        <v>WIN</v>
      </c>
      <c r="Q90" s="1">
        <f t="shared" si="5"/>
        <v>1</v>
      </c>
    </row>
    <row r="91" ht="15.75" customHeight="1">
      <c r="A91" s="1">
        <v>16.0</v>
      </c>
      <c r="B91" s="18" t="s">
        <v>204</v>
      </c>
      <c r="C91" s="10" t="s">
        <v>29</v>
      </c>
      <c r="D91" s="21">
        <v>45270.0</v>
      </c>
      <c r="E91" s="22">
        <v>0.875</v>
      </c>
      <c r="F91" s="23" t="s">
        <v>24</v>
      </c>
      <c r="G91" s="13" t="s">
        <v>43</v>
      </c>
      <c r="H91" s="1" t="s">
        <v>205</v>
      </c>
      <c r="I91" s="24" t="s">
        <v>59</v>
      </c>
      <c r="J91" s="25">
        <v>42848.0</v>
      </c>
      <c r="K91" s="26">
        <v>0.08611111111111111</v>
      </c>
      <c r="L91" s="17" t="s">
        <v>175</v>
      </c>
      <c r="M91" s="1">
        <f t="shared" si="8"/>
        <v>2</v>
      </c>
      <c r="N91" s="1">
        <f t="shared" si="9"/>
        <v>4</v>
      </c>
      <c r="O91" s="1" t="str">
        <f t="shared" si="3"/>
        <v>24</v>
      </c>
      <c r="P91" s="1" t="str">
        <f t="shared" si="4"/>
        <v>LOSS</v>
      </c>
      <c r="Q91" s="1">
        <f t="shared" si="5"/>
        <v>-1</v>
      </c>
    </row>
    <row r="92" ht="15.75" customHeight="1">
      <c r="A92" s="1">
        <v>17.0</v>
      </c>
      <c r="B92" s="18" t="s">
        <v>206</v>
      </c>
      <c r="C92" s="10" t="s">
        <v>32</v>
      </c>
      <c r="D92" s="21">
        <v>45276.0</v>
      </c>
      <c r="E92" s="22">
        <v>0.875</v>
      </c>
      <c r="F92" s="23" t="s">
        <v>19</v>
      </c>
      <c r="G92" s="13" t="s">
        <v>43</v>
      </c>
      <c r="H92" s="1" t="s">
        <v>207</v>
      </c>
      <c r="I92" s="24" t="s">
        <v>59</v>
      </c>
      <c r="J92" s="25">
        <v>46492.0</v>
      </c>
      <c r="K92" s="26">
        <v>0.04236111111111111</v>
      </c>
      <c r="L92" s="17" t="s">
        <v>175</v>
      </c>
      <c r="M92" s="1">
        <f t="shared" si="8"/>
        <v>1</v>
      </c>
      <c r="N92" s="1">
        <f t="shared" si="9"/>
        <v>1</v>
      </c>
      <c r="O92" s="1" t="str">
        <f t="shared" si="3"/>
        <v>11</v>
      </c>
      <c r="P92" s="1" t="str">
        <f t="shared" si="4"/>
        <v>DRAW</v>
      </c>
      <c r="Q92" s="1">
        <f t="shared" si="5"/>
        <v>0</v>
      </c>
    </row>
    <row r="93" ht="15.75" customHeight="1">
      <c r="A93" s="1">
        <v>18.0</v>
      </c>
      <c r="B93" s="18" t="s">
        <v>208</v>
      </c>
      <c r="C93" s="10" t="s">
        <v>23</v>
      </c>
      <c r="D93" s="21">
        <v>45280.0</v>
      </c>
      <c r="E93" s="22">
        <v>0.7916666666666666</v>
      </c>
      <c r="F93" s="23" t="s">
        <v>24</v>
      </c>
      <c r="G93" s="13" t="s">
        <v>43</v>
      </c>
      <c r="H93" s="1" t="s">
        <v>209</v>
      </c>
      <c r="I93" s="24" t="s">
        <v>59</v>
      </c>
      <c r="J93" s="25">
        <v>34471.0</v>
      </c>
      <c r="K93" s="26">
        <v>0.12638888888888888</v>
      </c>
      <c r="L93" s="17" t="s">
        <v>175</v>
      </c>
      <c r="M93" s="1">
        <f t="shared" si="8"/>
        <v>3</v>
      </c>
      <c r="N93" s="1">
        <f t="shared" si="9"/>
        <v>2</v>
      </c>
      <c r="O93" s="1" t="str">
        <f t="shared" si="3"/>
        <v>32</v>
      </c>
      <c r="P93" s="1" t="str">
        <f t="shared" si="4"/>
        <v>WIN</v>
      </c>
      <c r="Q93" s="1">
        <f t="shared" si="5"/>
        <v>1</v>
      </c>
    </row>
    <row r="94" ht="15.75" customHeight="1">
      <c r="A94" s="1">
        <v>19.0</v>
      </c>
      <c r="B94" s="18" t="s">
        <v>210</v>
      </c>
      <c r="C94" s="10" t="s">
        <v>18</v>
      </c>
      <c r="D94" s="19">
        <v>45295.0</v>
      </c>
      <c r="E94" s="22">
        <v>0.8958333333333334</v>
      </c>
      <c r="F94" s="23" t="s">
        <v>19</v>
      </c>
      <c r="G94" s="13" t="s">
        <v>43</v>
      </c>
      <c r="H94" s="1" t="s">
        <v>211</v>
      </c>
      <c r="I94" s="24" t="s">
        <v>59</v>
      </c>
      <c r="J94" s="25">
        <v>31712.0</v>
      </c>
      <c r="K94" s="26">
        <v>0.043055555555555555</v>
      </c>
      <c r="L94" s="17" t="s">
        <v>175</v>
      </c>
      <c r="M94" s="1">
        <f t="shared" si="8"/>
        <v>1</v>
      </c>
      <c r="N94" s="1">
        <f t="shared" si="9"/>
        <v>2</v>
      </c>
      <c r="O94" s="1" t="str">
        <f t="shared" si="3"/>
        <v>12</v>
      </c>
      <c r="P94" s="1" t="str">
        <f t="shared" si="4"/>
        <v>WIN</v>
      </c>
      <c r="Q94" s="1">
        <f t="shared" si="5"/>
        <v>1</v>
      </c>
    </row>
    <row r="95" ht="15.75" customHeight="1">
      <c r="A95" s="1">
        <v>20.0</v>
      </c>
      <c r="B95" s="18" t="s">
        <v>212</v>
      </c>
      <c r="C95" s="10" t="s">
        <v>23</v>
      </c>
      <c r="D95" s="19">
        <v>45322.0</v>
      </c>
      <c r="E95" s="22">
        <v>0.7916666666666666</v>
      </c>
      <c r="F95" s="23" t="s">
        <v>24</v>
      </c>
      <c r="G95" s="13" t="s">
        <v>87</v>
      </c>
      <c r="H95" s="1" t="s">
        <v>213</v>
      </c>
      <c r="I95" s="24" t="s">
        <v>59</v>
      </c>
      <c r="J95" s="25">
        <v>37888.0</v>
      </c>
      <c r="K95" s="26">
        <v>0.041666666666666664</v>
      </c>
      <c r="L95" s="17" t="s">
        <v>175</v>
      </c>
      <c r="M95" s="1">
        <f t="shared" si="8"/>
        <v>1</v>
      </c>
      <c r="N95" s="1">
        <f t="shared" si="9"/>
        <v>0</v>
      </c>
      <c r="O95" s="1" t="str">
        <f t="shared" si="3"/>
        <v>10</v>
      </c>
      <c r="P95" s="1" t="str">
        <f t="shared" si="4"/>
        <v>WIN</v>
      </c>
      <c r="Q95" s="1">
        <f t="shared" si="5"/>
        <v>1</v>
      </c>
    </row>
    <row r="96" ht="15.75" customHeight="1">
      <c r="A96" s="1">
        <v>21.0</v>
      </c>
      <c r="B96" s="18" t="s">
        <v>214</v>
      </c>
      <c r="C96" s="10" t="s">
        <v>29</v>
      </c>
      <c r="D96" s="19">
        <v>45312.0</v>
      </c>
      <c r="E96" s="22">
        <v>0.7708333333333334</v>
      </c>
      <c r="F96" s="23" t="s">
        <v>19</v>
      </c>
      <c r="G96" s="13" t="s">
        <v>87</v>
      </c>
      <c r="H96" s="1" t="s">
        <v>185</v>
      </c>
      <c r="I96" s="24" t="s">
        <v>59</v>
      </c>
      <c r="J96" s="25">
        <v>53288.0</v>
      </c>
      <c r="K96" s="26">
        <v>0.08611111111111111</v>
      </c>
      <c r="L96" s="17" t="s">
        <v>175</v>
      </c>
      <c r="M96" s="1">
        <f t="shared" si="8"/>
        <v>2</v>
      </c>
      <c r="N96" s="1">
        <f t="shared" si="9"/>
        <v>4</v>
      </c>
      <c r="O96" s="1" t="str">
        <f t="shared" si="3"/>
        <v>24</v>
      </c>
      <c r="P96" s="1" t="str">
        <f t="shared" si="4"/>
        <v>WIN</v>
      </c>
      <c r="Q96" s="1">
        <f t="shared" si="5"/>
        <v>1</v>
      </c>
    </row>
    <row r="97" ht="15.75" customHeight="1">
      <c r="A97" s="1">
        <v>22.0</v>
      </c>
      <c r="B97" s="18" t="s">
        <v>215</v>
      </c>
      <c r="C97" s="10" t="s">
        <v>32</v>
      </c>
      <c r="D97" s="19">
        <v>45318.0</v>
      </c>
      <c r="E97" s="22">
        <v>0.7708333333333334</v>
      </c>
      <c r="F97" s="23" t="s">
        <v>24</v>
      </c>
      <c r="G97" s="13" t="s">
        <v>87</v>
      </c>
      <c r="H97" s="1" t="s">
        <v>216</v>
      </c>
      <c r="I97" s="24" t="s">
        <v>59</v>
      </c>
      <c r="J97" s="25">
        <v>46229.0</v>
      </c>
      <c r="K97" s="26">
        <v>0.1284722222222222</v>
      </c>
      <c r="L97" s="17" t="s">
        <v>175</v>
      </c>
      <c r="M97" s="1">
        <f t="shared" si="8"/>
        <v>3</v>
      </c>
      <c r="N97" s="1">
        <f t="shared" si="9"/>
        <v>5</v>
      </c>
      <c r="O97" s="1" t="str">
        <f t="shared" si="3"/>
        <v>35</v>
      </c>
      <c r="P97" s="1" t="str">
        <f t="shared" si="4"/>
        <v>LOSS</v>
      </c>
      <c r="Q97" s="1">
        <f t="shared" si="5"/>
        <v>-1</v>
      </c>
    </row>
    <row r="98" ht="15.75" customHeight="1">
      <c r="A98" s="1">
        <v>23.0</v>
      </c>
      <c r="B98" s="18" t="s">
        <v>217</v>
      </c>
      <c r="C98" s="10" t="s">
        <v>32</v>
      </c>
      <c r="D98" s="19">
        <v>45325.0</v>
      </c>
      <c r="E98" s="22">
        <v>0.7708333333333334</v>
      </c>
      <c r="F98" s="23" t="s">
        <v>19</v>
      </c>
      <c r="G98" s="13" t="s">
        <v>43</v>
      </c>
      <c r="H98" s="1" t="s">
        <v>69</v>
      </c>
      <c r="I98" s="24" t="s">
        <v>59</v>
      </c>
      <c r="J98" s="25">
        <v>19480.0</v>
      </c>
      <c r="K98" s="26">
        <v>0.04375</v>
      </c>
      <c r="L98" s="17" t="s">
        <v>175</v>
      </c>
      <c r="M98" s="1">
        <f t="shared" si="8"/>
        <v>1</v>
      </c>
      <c r="N98" s="1">
        <f t="shared" si="9"/>
        <v>3</v>
      </c>
      <c r="O98" s="1" t="str">
        <f t="shared" si="3"/>
        <v>13</v>
      </c>
      <c r="P98" s="1" t="str">
        <f t="shared" si="4"/>
        <v>WIN</v>
      </c>
      <c r="Q98" s="1">
        <f t="shared" si="5"/>
        <v>1</v>
      </c>
    </row>
    <row r="99" ht="15.75" customHeight="1">
      <c r="A99" s="1">
        <v>24.0</v>
      </c>
      <c r="B99" s="18" t="s">
        <v>218</v>
      </c>
      <c r="C99" s="10" t="s">
        <v>29</v>
      </c>
      <c r="D99" s="19">
        <v>45333.0</v>
      </c>
      <c r="E99" s="22">
        <v>0.875</v>
      </c>
      <c r="F99" s="23" t="s">
        <v>24</v>
      </c>
      <c r="G99" s="13" t="s">
        <v>87</v>
      </c>
      <c r="H99" s="1" t="s">
        <v>193</v>
      </c>
      <c r="I99" s="24" t="s">
        <v>59</v>
      </c>
      <c r="J99" s="25">
        <v>41901.0</v>
      </c>
      <c r="K99" s="26">
        <v>0.12708333333333333</v>
      </c>
      <c r="L99" s="17" t="s">
        <v>175</v>
      </c>
      <c r="M99" s="1">
        <f t="shared" si="8"/>
        <v>3</v>
      </c>
      <c r="N99" s="1">
        <f t="shared" si="9"/>
        <v>3</v>
      </c>
      <c r="O99" s="1" t="str">
        <f t="shared" si="3"/>
        <v>33</v>
      </c>
      <c r="P99" s="1" t="str">
        <f t="shared" si="4"/>
        <v>DRAW</v>
      </c>
      <c r="Q99" s="1">
        <f t="shared" si="5"/>
        <v>0</v>
      </c>
    </row>
    <row r="100" ht="15.75" customHeight="1">
      <c r="A100" s="1">
        <v>25.0</v>
      </c>
      <c r="B100" s="18" t="s">
        <v>219</v>
      </c>
      <c r="C100" s="10" t="s">
        <v>32</v>
      </c>
      <c r="D100" s="19">
        <v>45339.0</v>
      </c>
      <c r="E100" s="22">
        <v>0.7708333333333334</v>
      </c>
      <c r="F100" s="23" t="s">
        <v>19</v>
      </c>
      <c r="G100" s="13" t="s">
        <v>87</v>
      </c>
      <c r="H100" s="1" t="s">
        <v>220</v>
      </c>
      <c r="I100" s="24" t="s">
        <v>59</v>
      </c>
      <c r="J100" s="25">
        <v>23096.0</v>
      </c>
      <c r="K100" s="26">
        <v>0.043055555555555555</v>
      </c>
      <c r="L100" s="17" t="s">
        <v>175</v>
      </c>
      <c r="M100" s="1">
        <f t="shared" si="8"/>
        <v>1</v>
      </c>
      <c r="N100" s="1">
        <f t="shared" si="9"/>
        <v>2</v>
      </c>
      <c r="O100" s="1" t="str">
        <f t="shared" si="3"/>
        <v>12</v>
      </c>
      <c r="P100" s="1" t="str">
        <f t="shared" si="4"/>
        <v>WIN</v>
      </c>
      <c r="Q100" s="1">
        <f t="shared" si="5"/>
        <v>1</v>
      </c>
    </row>
    <row r="101" ht="15.75" customHeight="1">
      <c r="A101" s="1">
        <v>26.0</v>
      </c>
      <c r="B101" s="18" t="s">
        <v>221</v>
      </c>
      <c r="C101" s="10" t="s">
        <v>32</v>
      </c>
      <c r="D101" s="19">
        <v>45346.0</v>
      </c>
      <c r="E101" s="22">
        <v>0.6770833333333334</v>
      </c>
      <c r="F101" s="23" t="s">
        <v>24</v>
      </c>
      <c r="G101" s="13" t="s">
        <v>87</v>
      </c>
      <c r="H101" s="1" t="s">
        <v>222</v>
      </c>
      <c r="I101" s="24" t="s">
        <v>59</v>
      </c>
      <c r="J101" s="25">
        <v>36803.0</v>
      </c>
      <c r="K101" s="26">
        <v>0.16666666666666666</v>
      </c>
      <c r="L101" s="17" t="s">
        <v>175</v>
      </c>
      <c r="M101" s="1">
        <f t="shared" si="8"/>
        <v>4</v>
      </c>
      <c r="N101" s="1">
        <f t="shared" si="9"/>
        <v>0</v>
      </c>
      <c r="O101" s="1" t="str">
        <f t="shared" si="3"/>
        <v>40</v>
      </c>
      <c r="P101" s="1" t="str">
        <f t="shared" si="4"/>
        <v>WIN</v>
      </c>
      <c r="Q101" s="1">
        <f t="shared" si="5"/>
        <v>1</v>
      </c>
    </row>
    <row r="102" ht="15.75" customHeight="1">
      <c r="A102" s="1">
        <v>27.0</v>
      </c>
      <c r="B102" s="18" t="s">
        <v>223</v>
      </c>
      <c r="C102" s="10" t="s">
        <v>29</v>
      </c>
      <c r="D102" s="19">
        <v>45354.0</v>
      </c>
      <c r="E102" s="22">
        <v>0.875</v>
      </c>
      <c r="F102" s="23" t="s">
        <v>19</v>
      </c>
      <c r="G102" s="13" t="s">
        <v>87</v>
      </c>
      <c r="H102" s="1" t="s">
        <v>195</v>
      </c>
      <c r="I102" s="24" t="s">
        <v>59</v>
      </c>
      <c r="J102" s="25">
        <v>50295.0</v>
      </c>
      <c r="K102" s="26">
        <v>0.0</v>
      </c>
      <c r="L102" s="17" t="s">
        <v>175</v>
      </c>
      <c r="M102" s="1">
        <f t="shared" si="8"/>
        <v>0</v>
      </c>
      <c r="N102" s="1">
        <f t="shared" si="9"/>
        <v>0</v>
      </c>
      <c r="O102" s="1" t="str">
        <f t="shared" si="3"/>
        <v>00</v>
      </c>
      <c r="P102" s="1" t="str">
        <f t="shared" si="4"/>
        <v>DRAW</v>
      </c>
      <c r="Q102" s="1">
        <f t="shared" si="5"/>
        <v>0</v>
      </c>
    </row>
    <row r="103" ht="15.75" customHeight="1">
      <c r="A103" s="1">
        <v>28.0</v>
      </c>
      <c r="B103" s="18" t="s">
        <v>224</v>
      </c>
      <c r="C103" s="10" t="s">
        <v>191</v>
      </c>
      <c r="D103" s="19">
        <v>45359.0</v>
      </c>
      <c r="E103" s="22">
        <v>0.875</v>
      </c>
      <c r="F103" s="23" t="s">
        <v>24</v>
      </c>
      <c r="G103" s="13" t="s">
        <v>87</v>
      </c>
      <c r="H103" s="1" t="s">
        <v>225</v>
      </c>
      <c r="I103" s="24" t="s">
        <v>59</v>
      </c>
      <c r="J103" s="25">
        <v>38225.0</v>
      </c>
      <c r="K103" s="26">
        <v>0.041666666666666664</v>
      </c>
      <c r="L103" s="17" t="s">
        <v>175</v>
      </c>
      <c r="M103" s="1">
        <f t="shared" si="8"/>
        <v>1</v>
      </c>
      <c r="N103" s="1">
        <f t="shared" si="9"/>
        <v>0</v>
      </c>
      <c r="O103" s="1" t="str">
        <f t="shared" si="3"/>
        <v>10</v>
      </c>
      <c r="P103" s="1" t="str">
        <f t="shared" si="4"/>
        <v>WIN</v>
      </c>
      <c r="Q103" s="1">
        <f t="shared" si="5"/>
        <v>1</v>
      </c>
    </row>
    <row r="104" ht="15.75" customHeight="1">
      <c r="A104" s="1">
        <v>29.0</v>
      </c>
      <c r="B104" s="18" t="s">
        <v>226</v>
      </c>
      <c r="C104" s="10" t="s">
        <v>29</v>
      </c>
      <c r="D104" s="19">
        <v>45368.0</v>
      </c>
      <c r="E104" s="22">
        <v>0.875</v>
      </c>
      <c r="F104" s="23" t="s">
        <v>19</v>
      </c>
      <c r="G104" s="13" t="s">
        <v>87</v>
      </c>
      <c r="H104" s="1" t="s">
        <v>227</v>
      </c>
      <c r="I104" s="24" t="s">
        <v>59</v>
      </c>
      <c r="J104" s="25">
        <v>68253.0</v>
      </c>
      <c r="K104" s="26">
        <v>0.0020833333333333333</v>
      </c>
      <c r="L104" s="17" t="s">
        <v>175</v>
      </c>
      <c r="M104" s="1">
        <f t="shared" si="8"/>
        <v>0</v>
      </c>
      <c r="N104" s="1">
        <f t="shared" si="9"/>
        <v>3</v>
      </c>
      <c r="O104" s="1" t="str">
        <f t="shared" si="3"/>
        <v>03</v>
      </c>
      <c r="P104" s="1" t="str">
        <f t="shared" si="4"/>
        <v>WIN</v>
      </c>
      <c r="Q104" s="1">
        <f t="shared" si="5"/>
        <v>1</v>
      </c>
    </row>
    <row r="105" ht="15.75" customHeight="1">
      <c r="A105" s="1">
        <v>30.0</v>
      </c>
      <c r="B105" s="18" t="s">
        <v>228</v>
      </c>
      <c r="C105" s="10" t="s">
        <v>32</v>
      </c>
      <c r="D105" s="19">
        <v>45381.0</v>
      </c>
      <c r="E105" s="22">
        <v>0.875</v>
      </c>
      <c r="F105" s="23" t="s">
        <v>24</v>
      </c>
      <c r="G105" s="13" t="s">
        <v>33</v>
      </c>
      <c r="H105" s="1" t="s">
        <v>229</v>
      </c>
      <c r="I105" s="24" t="s">
        <v>59</v>
      </c>
      <c r="J105" s="25">
        <v>46788.0</v>
      </c>
      <c r="K105" s="26">
        <v>0.041666666666666664</v>
      </c>
      <c r="L105" s="17" t="s">
        <v>175</v>
      </c>
      <c r="M105" s="1">
        <f t="shared" si="8"/>
        <v>1</v>
      </c>
      <c r="N105" s="1">
        <f t="shared" si="9"/>
        <v>0</v>
      </c>
      <c r="O105" s="1" t="str">
        <f t="shared" si="3"/>
        <v>10</v>
      </c>
      <c r="P105" s="1" t="str">
        <f t="shared" si="4"/>
        <v>WIN</v>
      </c>
      <c r="Q105" s="1">
        <f t="shared" si="5"/>
        <v>1</v>
      </c>
    </row>
    <row r="106" ht="15.75" customHeight="1">
      <c r="A106" s="1">
        <v>31.0</v>
      </c>
      <c r="B106" s="18" t="s">
        <v>230</v>
      </c>
      <c r="C106" s="10" t="s">
        <v>32</v>
      </c>
      <c r="D106" s="19">
        <v>45395.0</v>
      </c>
      <c r="E106" s="22">
        <v>0.875</v>
      </c>
      <c r="F106" s="23" t="s">
        <v>19</v>
      </c>
      <c r="G106" s="13" t="s">
        <v>33</v>
      </c>
      <c r="H106" s="1" t="s">
        <v>231</v>
      </c>
      <c r="I106" s="24" t="s">
        <v>59</v>
      </c>
      <c r="J106" s="25">
        <v>19607.0</v>
      </c>
      <c r="K106" s="26">
        <v>6.944444444444445E-4</v>
      </c>
      <c r="L106" s="17" t="s">
        <v>175</v>
      </c>
      <c r="M106" s="1">
        <f t="shared" si="8"/>
        <v>0</v>
      </c>
      <c r="N106" s="1">
        <f t="shared" si="9"/>
        <v>1</v>
      </c>
      <c r="O106" s="1" t="str">
        <f t="shared" si="3"/>
        <v>01</v>
      </c>
      <c r="P106" s="1" t="str">
        <f t="shared" si="4"/>
        <v>WIN</v>
      </c>
      <c r="Q106" s="1">
        <f t="shared" si="5"/>
        <v>1</v>
      </c>
    </row>
    <row r="107" ht="15.75" customHeight="1">
      <c r="A107" s="1">
        <v>32.0</v>
      </c>
      <c r="B107" s="18" t="s">
        <v>232</v>
      </c>
      <c r="C107" s="10" t="s">
        <v>29</v>
      </c>
      <c r="D107" s="19">
        <v>45403.0</v>
      </c>
      <c r="E107" s="22">
        <v>0.875</v>
      </c>
      <c r="F107" s="23" t="s">
        <v>19</v>
      </c>
      <c r="G107" s="13" t="s">
        <v>33</v>
      </c>
      <c r="H107" s="1" t="s">
        <v>233</v>
      </c>
      <c r="I107" s="24" t="s">
        <v>59</v>
      </c>
      <c r="J107" s="25">
        <v>77981.0</v>
      </c>
      <c r="K107" s="26">
        <v>0.12638888888888888</v>
      </c>
      <c r="L107" s="17" t="s">
        <v>175</v>
      </c>
      <c r="M107" s="1">
        <f t="shared" si="8"/>
        <v>3</v>
      </c>
      <c r="N107" s="1">
        <f t="shared" si="9"/>
        <v>2</v>
      </c>
      <c r="O107" s="1" t="str">
        <f t="shared" si="3"/>
        <v>32</v>
      </c>
      <c r="P107" s="1" t="str">
        <f t="shared" si="4"/>
        <v>LOSS</v>
      </c>
      <c r="Q107" s="1">
        <f t="shared" si="5"/>
        <v>-1</v>
      </c>
    </row>
    <row r="108" ht="15.75" customHeight="1">
      <c r="A108" s="1">
        <v>33.0</v>
      </c>
      <c r="B108" s="18" t="s">
        <v>234</v>
      </c>
      <c r="C108" s="10" t="s">
        <v>99</v>
      </c>
      <c r="D108" s="19">
        <v>45411.0</v>
      </c>
      <c r="E108" s="22">
        <v>0.875</v>
      </c>
      <c r="F108" s="23" t="s">
        <v>24</v>
      </c>
      <c r="G108" s="13" t="s">
        <v>33</v>
      </c>
      <c r="H108" s="1" t="s">
        <v>235</v>
      </c>
      <c r="I108" s="24" t="s">
        <v>59</v>
      </c>
      <c r="J108" s="25">
        <v>30167.0</v>
      </c>
      <c r="K108" s="26">
        <v>0.16805555555555557</v>
      </c>
      <c r="L108" s="17" t="s">
        <v>175</v>
      </c>
      <c r="M108" s="1">
        <f t="shared" si="8"/>
        <v>4</v>
      </c>
      <c r="N108" s="1">
        <f t="shared" si="9"/>
        <v>2</v>
      </c>
      <c r="O108" s="1" t="str">
        <f t="shared" si="3"/>
        <v>42</v>
      </c>
      <c r="P108" s="1" t="str">
        <f t="shared" si="4"/>
        <v>WIN</v>
      </c>
      <c r="Q108" s="1">
        <f t="shared" si="5"/>
        <v>1</v>
      </c>
    </row>
    <row r="109" ht="15.75" customHeight="1">
      <c r="A109" s="1">
        <v>34.0</v>
      </c>
      <c r="B109" s="18" t="s">
        <v>236</v>
      </c>
      <c r="C109" s="10" t="s">
        <v>32</v>
      </c>
      <c r="D109" s="19">
        <v>45416.0</v>
      </c>
      <c r="E109" s="22">
        <v>0.7708333333333334</v>
      </c>
      <c r="F109" s="23" t="s">
        <v>19</v>
      </c>
      <c r="G109" s="13" t="s">
        <v>33</v>
      </c>
      <c r="H109" s="1" t="s">
        <v>237</v>
      </c>
      <c r="I109" s="24" t="s">
        <v>59</v>
      </c>
      <c r="J109" s="25">
        <v>14090.0</v>
      </c>
      <c r="K109" s="26">
        <v>0.16805555555555557</v>
      </c>
      <c r="L109" s="17" t="s">
        <v>175</v>
      </c>
      <c r="M109" s="1">
        <f t="shared" si="8"/>
        <v>4</v>
      </c>
      <c r="N109" s="1">
        <f t="shared" si="9"/>
        <v>2</v>
      </c>
      <c r="O109" s="1" t="str">
        <f t="shared" si="3"/>
        <v>42</v>
      </c>
      <c r="P109" s="1" t="str">
        <f t="shared" si="4"/>
        <v>LOSS</v>
      </c>
      <c r="Q109" s="1">
        <f t="shared" si="5"/>
        <v>-1</v>
      </c>
    </row>
    <row r="110" ht="15.75" customHeight="1">
      <c r="A110" s="1">
        <v>35.0</v>
      </c>
      <c r="B110" s="18" t="s">
        <v>238</v>
      </c>
      <c r="C110" s="10" t="s">
        <v>99</v>
      </c>
      <c r="D110" s="19">
        <v>45425.0</v>
      </c>
      <c r="E110" s="22">
        <v>0.875</v>
      </c>
      <c r="F110" s="23" t="s">
        <v>24</v>
      </c>
      <c r="G110" s="13" t="s">
        <v>87</v>
      </c>
      <c r="H110" s="1" t="s">
        <v>239</v>
      </c>
      <c r="I110" s="24" t="s">
        <v>59</v>
      </c>
      <c r="J110" s="25">
        <v>35829.0</v>
      </c>
      <c r="K110" s="26">
        <v>0.08333333333333333</v>
      </c>
      <c r="L110" s="17" t="s">
        <v>175</v>
      </c>
      <c r="M110" s="1">
        <f t="shared" si="8"/>
        <v>2</v>
      </c>
      <c r="N110" s="1">
        <f t="shared" si="9"/>
        <v>0</v>
      </c>
      <c r="O110" s="1" t="str">
        <f t="shared" si="3"/>
        <v>20</v>
      </c>
      <c r="P110" s="1" t="str">
        <f t="shared" si="4"/>
        <v>WIN</v>
      </c>
      <c r="Q110" s="1">
        <f t="shared" si="5"/>
        <v>1</v>
      </c>
    </row>
    <row r="111" ht="15.75" customHeight="1">
      <c r="A111" s="1">
        <v>36.0</v>
      </c>
      <c r="B111" s="18" t="s">
        <v>240</v>
      </c>
      <c r="C111" s="10" t="s">
        <v>18</v>
      </c>
      <c r="D111" s="19">
        <v>45428.0</v>
      </c>
      <c r="E111" s="22">
        <v>0.8958333333333334</v>
      </c>
      <c r="F111" s="23" t="s">
        <v>19</v>
      </c>
      <c r="G111" s="13" t="s">
        <v>33</v>
      </c>
      <c r="H111" s="1" t="s">
        <v>209</v>
      </c>
      <c r="I111" s="24" t="s">
        <v>59</v>
      </c>
      <c r="J111" s="25">
        <v>15543.0</v>
      </c>
      <c r="K111" s="26">
        <v>0.001388888888888889</v>
      </c>
      <c r="L111" s="17" t="s">
        <v>175</v>
      </c>
      <c r="M111" s="1">
        <f t="shared" si="8"/>
        <v>0</v>
      </c>
      <c r="N111" s="1">
        <f t="shared" si="9"/>
        <v>2</v>
      </c>
      <c r="O111" s="1" t="str">
        <f t="shared" si="3"/>
        <v>02</v>
      </c>
      <c r="P111" s="1" t="str">
        <f t="shared" si="4"/>
        <v>WIN</v>
      </c>
      <c r="Q111" s="1">
        <f t="shared" si="5"/>
        <v>1</v>
      </c>
    </row>
    <row r="112" ht="15.75" customHeight="1">
      <c r="A112" s="1">
        <v>37.0</v>
      </c>
      <c r="B112" s="18" t="s">
        <v>241</v>
      </c>
      <c r="C112" s="10" t="s">
        <v>29</v>
      </c>
      <c r="D112" s="19">
        <v>45431.0</v>
      </c>
      <c r="E112" s="22">
        <v>0.7916666666666666</v>
      </c>
      <c r="F112" s="23" t="s">
        <v>24</v>
      </c>
      <c r="G112" s="13" t="s">
        <v>33</v>
      </c>
      <c r="H112" s="1" t="s">
        <v>242</v>
      </c>
      <c r="I112" s="24" t="s">
        <v>59</v>
      </c>
      <c r="J112" s="25">
        <v>35823.0</v>
      </c>
      <c r="K112" s="26">
        <v>0.125</v>
      </c>
      <c r="L112" s="17" t="s">
        <v>175</v>
      </c>
      <c r="M112" s="1">
        <f t="shared" si="8"/>
        <v>3</v>
      </c>
      <c r="N112" s="1">
        <f t="shared" si="9"/>
        <v>0</v>
      </c>
      <c r="O112" s="1" t="str">
        <f t="shared" si="3"/>
        <v>30</v>
      </c>
      <c r="P112" s="1" t="str">
        <f t="shared" si="4"/>
        <v>WIN</v>
      </c>
      <c r="Q112" s="1">
        <f t="shared" si="5"/>
        <v>1</v>
      </c>
    </row>
    <row r="113" ht="15.75" customHeight="1">
      <c r="A113" s="1">
        <v>38.0</v>
      </c>
      <c r="B113" s="18" t="s">
        <v>243</v>
      </c>
      <c r="C113" s="10" t="s">
        <v>29</v>
      </c>
      <c r="D113" s="19">
        <v>45438.0</v>
      </c>
      <c r="E113" s="22">
        <v>0.875</v>
      </c>
      <c r="F113" s="23" t="s">
        <v>19</v>
      </c>
      <c r="G113" s="13" t="s">
        <v>33</v>
      </c>
      <c r="H113" s="1" t="s">
        <v>244</v>
      </c>
      <c r="I113" s="24" t="s">
        <v>59</v>
      </c>
      <c r="J113" s="25">
        <v>34888.0</v>
      </c>
      <c r="K113" s="26">
        <v>0.043055555555555555</v>
      </c>
      <c r="L113" s="17" t="s">
        <v>175</v>
      </c>
      <c r="M113" s="1">
        <f t="shared" si="8"/>
        <v>1</v>
      </c>
      <c r="N113" s="1">
        <f t="shared" si="9"/>
        <v>2</v>
      </c>
      <c r="O113" s="1" t="str">
        <f t="shared" si="3"/>
        <v>12</v>
      </c>
      <c r="P113" s="1" t="str">
        <f t="shared" si="4"/>
        <v>WIN</v>
      </c>
      <c r="Q113" s="1">
        <f t="shared" si="5"/>
        <v>1</v>
      </c>
    </row>
    <row r="114" ht="15.75" customHeight="1">
      <c r="A114" s="24" t="s">
        <v>245</v>
      </c>
      <c r="B114" s="18" t="s">
        <v>246</v>
      </c>
      <c r="C114" s="10" t="s">
        <v>26</v>
      </c>
      <c r="D114" s="19">
        <v>45188.0</v>
      </c>
      <c r="E114" s="22">
        <v>0.875</v>
      </c>
      <c r="F114" s="23" t="s">
        <v>24</v>
      </c>
      <c r="G114" s="13"/>
      <c r="H114" s="1" t="s">
        <v>247</v>
      </c>
      <c r="I114" s="24" t="s">
        <v>59</v>
      </c>
      <c r="J114" s="25">
        <v>40989.0</v>
      </c>
      <c r="K114" s="26">
        <v>0.20833333333333334</v>
      </c>
      <c r="L114" s="17" t="s">
        <v>175</v>
      </c>
      <c r="M114" s="1">
        <f t="shared" si="8"/>
        <v>5</v>
      </c>
      <c r="N114" s="1">
        <f t="shared" si="9"/>
        <v>0</v>
      </c>
      <c r="O114" s="1" t="str">
        <f t="shared" si="3"/>
        <v>50</v>
      </c>
      <c r="P114" s="1" t="str">
        <f t="shared" si="4"/>
        <v>WIN</v>
      </c>
      <c r="Q114" s="1">
        <f t="shared" si="5"/>
        <v>1</v>
      </c>
    </row>
    <row r="115" ht="15.75" customHeight="1">
      <c r="A115" s="24" t="s">
        <v>245</v>
      </c>
      <c r="B115" s="18" t="s">
        <v>248</v>
      </c>
      <c r="C115" s="10" t="s">
        <v>23</v>
      </c>
      <c r="D115" s="19">
        <v>45203.0</v>
      </c>
      <c r="E115" s="22">
        <v>0.875</v>
      </c>
      <c r="F115" s="23" t="s">
        <v>19</v>
      </c>
      <c r="G115" s="13"/>
      <c r="H115" s="1" t="s">
        <v>249</v>
      </c>
      <c r="I115" s="24" t="s">
        <v>59</v>
      </c>
      <c r="J115" s="25">
        <v>49722.0</v>
      </c>
      <c r="K115" s="26">
        <v>6.944444444444445E-4</v>
      </c>
      <c r="L115" s="17" t="s">
        <v>175</v>
      </c>
      <c r="M115" s="1">
        <f t="shared" si="8"/>
        <v>0</v>
      </c>
      <c r="N115" s="1">
        <f t="shared" si="9"/>
        <v>1</v>
      </c>
      <c r="O115" s="1" t="str">
        <f t="shared" si="3"/>
        <v>01</v>
      </c>
      <c r="P115" s="1" t="str">
        <f t="shared" si="4"/>
        <v>WIN</v>
      </c>
      <c r="Q115" s="1">
        <f t="shared" si="5"/>
        <v>1</v>
      </c>
    </row>
    <row r="116" ht="15.75" customHeight="1">
      <c r="A116" s="24" t="s">
        <v>245</v>
      </c>
      <c r="B116" s="18" t="s">
        <v>250</v>
      </c>
      <c r="C116" s="10" t="s">
        <v>23</v>
      </c>
      <c r="D116" s="21">
        <v>45224.0</v>
      </c>
      <c r="E116" s="22">
        <v>0.78125</v>
      </c>
      <c r="F116" s="23" t="s">
        <v>24</v>
      </c>
      <c r="G116" s="13"/>
      <c r="H116" s="1" t="s">
        <v>251</v>
      </c>
      <c r="I116" s="24" t="s">
        <v>59</v>
      </c>
      <c r="J116" s="25">
        <v>41409.0</v>
      </c>
      <c r="K116" s="26">
        <v>0.08402777777777778</v>
      </c>
      <c r="L116" s="17" t="s">
        <v>175</v>
      </c>
      <c r="M116" s="1">
        <f t="shared" si="8"/>
        <v>2</v>
      </c>
      <c r="N116" s="1">
        <f t="shared" si="9"/>
        <v>1</v>
      </c>
      <c r="O116" s="1" t="str">
        <f t="shared" si="3"/>
        <v>21</v>
      </c>
      <c r="P116" s="1" t="str">
        <f t="shared" si="4"/>
        <v>WIN</v>
      </c>
      <c r="Q116" s="1">
        <f t="shared" si="5"/>
        <v>1</v>
      </c>
    </row>
    <row r="117" ht="15.75" customHeight="1">
      <c r="A117" s="24" t="s">
        <v>245</v>
      </c>
      <c r="B117" s="18" t="s">
        <v>252</v>
      </c>
      <c r="C117" s="10" t="s">
        <v>26</v>
      </c>
      <c r="D117" s="19">
        <v>45237.0</v>
      </c>
      <c r="E117" s="22">
        <v>0.78125</v>
      </c>
      <c r="F117" s="23" t="s">
        <v>19</v>
      </c>
      <c r="G117" s="13"/>
      <c r="H117" s="1" t="s">
        <v>251</v>
      </c>
      <c r="I117" s="24" t="s">
        <v>59</v>
      </c>
      <c r="J117" s="25">
        <v>49147.0</v>
      </c>
      <c r="K117" s="26">
        <v>0.041666666666666664</v>
      </c>
      <c r="L117" s="17" t="s">
        <v>175</v>
      </c>
      <c r="M117" s="1">
        <f t="shared" si="8"/>
        <v>1</v>
      </c>
      <c r="N117" s="1">
        <f t="shared" si="9"/>
        <v>0</v>
      </c>
      <c r="O117" s="1" t="str">
        <f t="shared" si="3"/>
        <v>10</v>
      </c>
      <c r="P117" s="1" t="str">
        <f t="shared" si="4"/>
        <v>LOSS</v>
      </c>
      <c r="Q117" s="1">
        <f t="shared" si="5"/>
        <v>-1</v>
      </c>
    </row>
    <row r="118" ht="15.75" customHeight="1">
      <c r="A118" s="24" t="s">
        <v>245</v>
      </c>
      <c r="B118" s="18" t="s">
        <v>253</v>
      </c>
      <c r="C118" s="10" t="s">
        <v>26</v>
      </c>
      <c r="D118" s="21">
        <v>45258.0</v>
      </c>
      <c r="E118" s="22">
        <v>0.875</v>
      </c>
      <c r="F118" s="23" t="s">
        <v>24</v>
      </c>
      <c r="G118" s="13"/>
      <c r="H118" s="1" t="s">
        <v>249</v>
      </c>
      <c r="I118" s="24" t="s">
        <v>59</v>
      </c>
      <c r="J118" s="25">
        <v>43533.0</v>
      </c>
      <c r="K118" s="26">
        <v>0.08402777777777778</v>
      </c>
      <c r="L118" s="17" t="s">
        <v>175</v>
      </c>
      <c r="M118" s="1">
        <f t="shared" si="8"/>
        <v>2</v>
      </c>
      <c r="N118" s="1">
        <f t="shared" si="9"/>
        <v>1</v>
      </c>
      <c r="O118" s="1" t="str">
        <f t="shared" si="3"/>
        <v>21</v>
      </c>
      <c r="P118" s="1" t="str">
        <f t="shared" si="4"/>
        <v>WIN</v>
      </c>
      <c r="Q118" s="1">
        <f t="shared" si="5"/>
        <v>1</v>
      </c>
    </row>
    <row r="119" ht="15.75" customHeight="1">
      <c r="A119" s="24" t="s">
        <v>245</v>
      </c>
      <c r="B119" s="18" t="s">
        <v>254</v>
      </c>
      <c r="C119" s="10" t="s">
        <v>23</v>
      </c>
      <c r="D119" s="21">
        <v>45273.0</v>
      </c>
      <c r="E119" s="22">
        <v>0.875</v>
      </c>
      <c r="F119" s="23" t="s">
        <v>19</v>
      </c>
      <c r="G119" s="13"/>
      <c r="H119" s="1" t="s">
        <v>247</v>
      </c>
      <c r="I119" s="24" t="s">
        <v>59</v>
      </c>
      <c r="J119" s="25">
        <v>13550.0</v>
      </c>
      <c r="K119" s="26">
        <v>0.12638888888888888</v>
      </c>
      <c r="L119" s="17" t="s">
        <v>175</v>
      </c>
      <c r="M119" s="1">
        <f t="shared" si="8"/>
        <v>3</v>
      </c>
      <c r="N119" s="1">
        <f t="shared" si="9"/>
        <v>2</v>
      </c>
      <c r="O119" s="1" t="str">
        <f t="shared" si="3"/>
        <v>32</v>
      </c>
      <c r="P119" s="1" t="str">
        <f t="shared" si="4"/>
        <v>LOSS</v>
      </c>
      <c r="Q119" s="1">
        <f t="shared" si="5"/>
        <v>-1</v>
      </c>
    </row>
    <row r="120" ht="15.75" customHeight="1">
      <c r="A120" s="24" t="s">
        <v>143</v>
      </c>
      <c r="B120" s="18" t="s">
        <v>255</v>
      </c>
      <c r="C120" s="10" t="s">
        <v>23</v>
      </c>
      <c r="D120" s="19">
        <v>45343.0</v>
      </c>
      <c r="E120" s="22">
        <v>0.875</v>
      </c>
      <c r="F120" s="23" t="s">
        <v>19</v>
      </c>
      <c r="G120" s="13"/>
      <c r="H120" s="1" t="s">
        <v>256</v>
      </c>
      <c r="I120" s="24" t="s">
        <v>59</v>
      </c>
      <c r="J120" s="25">
        <v>49529.0</v>
      </c>
      <c r="K120" s="26">
        <v>0.04236111111111111</v>
      </c>
      <c r="L120" s="17" t="s">
        <v>175</v>
      </c>
      <c r="M120" s="1">
        <f t="shared" si="8"/>
        <v>1</v>
      </c>
      <c r="N120" s="1">
        <f t="shared" si="9"/>
        <v>1</v>
      </c>
      <c r="O120" s="1" t="str">
        <f t="shared" si="3"/>
        <v>11</v>
      </c>
      <c r="P120" s="1" t="str">
        <f t="shared" si="4"/>
        <v>DRAW</v>
      </c>
      <c r="Q120" s="1">
        <f t="shared" si="5"/>
        <v>0</v>
      </c>
    </row>
    <row r="121" ht="15.75" customHeight="1">
      <c r="A121" s="24" t="s">
        <v>145</v>
      </c>
      <c r="B121" s="18" t="s">
        <v>257</v>
      </c>
      <c r="C121" s="10" t="s">
        <v>26</v>
      </c>
      <c r="D121" s="19">
        <v>45363.0</v>
      </c>
      <c r="E121" s="22">
        <v>0.875</v>
      </c>
      <c r="F121" s="23" t="s">
        <v>24</v>
      </c>
      <c r="G121" s="13"/>
      <c r="H121" s="1" t="s">
        <v>256</v>
      </c>
      <c r="I121" s="24" t="s">
        <v>59</v>
      </c>
      <c r="J121" s="25">
        <v>50301.0</v>
      </c>
      <c r="K121" s="26">
        <v>0.12569444444444444</v>
      </c>
      <c r="L121" s="17" t="s">
        <v>175</v>
      </c>
      <c r="M121" s="1">
        <f t="shared" si="8"/>
        <v>3</v>
      </c>
      <c r="N121" s="1">
        <f t="shared" si="9"/>
        <v>1</v>
      </c>
      <c r="O121" s="1" t="str">
        <f t="shared" si="3"/>
        <v>31</v>
      </c>
      <c r="P121" s="1" t="str">
        <f t="shared" si="4"/>
        <v>WIN</v>
      </c>
      <c r="Q121" s="1">
        <f t="shared" si="5"/>
        <v>1</v>
      </c>
    </row>
    <row r="122" ht="15.75" customHeight="1">
      <c r="A122" s="24" t="s">
        <v>147</v>
      </c>
      <c r="B122" s="18" t="s">
        <v>258</v>
      </c>
      <c r="C122" s="10" t="s">
        <v>23</v>
      </c>
      <c r="D122" s="19">
        <v>45392.0</v>
      </c>
      <c r="E122" s="22">
        <v>0.875</v>
      </c>
      <c r="F122" s="23" t="s">
        <v>19</v>
      </c>
      <c r="G122" s="13"/>
      <c r="H122" s="1" t="s">
        <v>25</v>
      </c>
      <c r="I122" s="24" t="s">
        <v>59</v>
      </c>
      <c r="J122" s="25">
        <v>47470.0</v>
      </c>
      <c r="K122" s="26">
        <v>0.08541666666666667</v>
      </c>
      <c r="L122" s="17" t="s">
        <v>175</v>
      </c>
      <c r="M122" s="1">
        <f t="shared" si="8"/>
        <v>2</v>
      </c>
      <c r="N122" s="1">
        <f t="shared" si="9"/>
        <v>3</v>
      </c>
      <c r="O122" s="1" t="str">
        <f t="shared" si="3"/>
        <v>23</v>
      </c>
      <c r="P122" s="1" t="str">
        <f t="shared" si="4"/>
        <v>WIN</v>
      </c>
      <c r="Q122" s="1">
        <f t="shared" si="5"/>
        <v>1</v>
      </c>
    </row>
    <row r="123" ht="15.75" customHeight="1">
      <c r="A123" s="24" t="s">
        <v>149</v>
      </c>
      <c r="B123" s="18" t="s">
        <v>259</v>
      </c>
      <c r="C123" s="10" t="s">
        <v>26</v>
      </c>
      <c r="D123" s="19">
        <v>45398.0</v>
      </c>
      <c r="E123" s="22">
        <v>0.875</v>
      </c>
      <c r="F123" s="23" t="s">
        <v>24</v>
      </c>
      <c r="G123" s="13"/>
      <c r="H123" s="1" t="s">
        <v>25</v>
      </c>
      <c r="I123" s="24" t="s">
        <v>59</v>
      </c>
      <c r="J123" s="25">
        <v>50311.0</v>
      </c>
      <c r="K123" s="26">
        <v>0.044444444444444446</v>
      </c>
      <c r="L123" s="17" t="s">
        <v>175</v>
      </c>
      <c r="M123" s="1">
        <f t="shared" si="8"/>
        <v>1</v>
      </c>
      <c r="N123" s="1">
        <f t="shared" si="9"/>
        <v>4</v>
      </c>
      <c r="O123" s="1" t="str">
        <f t="shared" si="3"/>
        <v>14</v>
      </c>
      <c r="P123" s="1" t="str">
        <f t="shared" si="4"/>
        <v>LOSS</v>
      </c>
      <c r="Q123" s="1">
        <f t="shared" si="5"/>
        <v>-1</v>
      </c>
    </row>
    <row r="124" ht="15.75" customHeight="1">
      <c r="A124" s="24" t="s">
        <v>157</v>
      </c>
      <c r="B124" s="18" t="s">
        <v>260</v>
      </c>
      <c r="C124" s="10" t="s">
        <v>29</v>
      </c>
      <c r="D124" s="19">
        <v>45298.0</v>
      </c>
      <c r="E124" s="22">
        <v>0.875</v>
      </c>
      <c r="F124" s="23" t="s">
        <v>19</v>
      </c>
      <c r="G124" s="13"/>
      <c r="H124" s="1" t="s">
        <v>159</v>
      </c>
      <c r="I124" s="24" t="s">
        <v>59</v>
      </c>
      <c r="J124" s="27">
        <v>6000.0</v>
      </c>
      <c r="K124" s="26">
        <v>0.08541666666666667</v>
      </c>
      <c r="L124" s="17" t="s">
        <v>175</v>
      </c>
      <c r="M124" s="1">
        <f t="shared" si="8"/>
        <v>2</v>
      </c>
      <c r="N124" s="1">
        <f t="shared" si="9"/>
        <v>3</v>
      </c>
      <c r="O124" s="1" t="str">
        <f t="shared" si="3"/>
        <v>23</v>
      </c>
      <c r="P124" s="1" t="str">
        <f t="shared" si="4"/>
        <v>WIN</v>
      </c>
      <c r="Q124" s="1">
        <f t="shared" si="5"/>
        <v>1</v>
      </c>
    </row>
    <row r="125" ht="15.75" customHeight="1">
      <c r="A125" s="24" t="s">
        <v>160</v>
      </c>
      <c r="B125" s="18" t="s">
        <v>261</v>
      </c>
      <c r="C125" s="10" t="s">
        <v>18</v>
      </c>
      <c r="D125" s="19">
        <v>45309.0</v>
      </c>
      <c r="E125" s="22">
        <v>0.8125</v>
      </c>
      <c r="F125" s="23" t="s">
        <v>19</v>
      </c>
      <c r="G125" s="13"/>
      <c r="H125" s="1" t="s">
        <v>262</v>
      </c>
      <c r="I125" s="24" t="s">
        <v>59</v>
      </c>
      <c r="J125" s="25">
        <v>6246.0</v>
      </c>
      <c r="K125" s="26">
        <v>0.04375</v>
      </c>
      <c r="L125" s="17" t="s">
        <v>175</v>
      </c>
      <c r="M125" s="1">
        <f t="shared" si="8"/>
        <v>1</v>
      </c>
      <c r="N125" s="1">
        <f t="shared" si="9"/>
        <v>3</v>
      </c>
      <c r="O125" s="1" t="str">
        <f t="shared" si="3"/>
        <v>13</v>
      </c>
      <c r="P125" s="1" t="str">
        <f t="shared" si="4"/>
        <v>WIN</v>
      </c>
      <c r="Q125" s="1">
        <f t="shared" si="5"/>
        <v>1</v>
      </c>
    </row>
    <row r="126" ht="15.75" customHeight="1">
      <c r="A126" s="24" t="s">
        <v>163</v>
      </c>
      <c r="B126" s="18" t="s">
        <v>263</v>
      </c>
      <c r="C126" s="10" t="s">
        <v>23</v>
      </c>
      <c r="D126" s="19">
        <v>45315.0</v>
      </c>
      <c r="E126" s="22">
        <v>0.8958333333333334</v>
      </c>
      <c r="F126" s="23" t="s">
        <v>19</v>
      </c>
      <c r="G126" s="13"/>
      <c r="H126" s="1" t="s">
        <v>264</v>
      </c>
      <c r="I126" s="24" t="s">
        <v>59</v>
      </c>
      <c r="J126" s="25">
        <v>50403.0</v>
      </c>
      <c r="K126" s="28" t="s">
        <v>265</v>
      </c>
      <c r="L126" s="17" t="s">
        <v>175</v>
      </c>
      <c r="M126" s="6">
        <v>4.0</v>
      </c>
      <c r="N126" s="6">
        <v>2.0</v>
      </c>
      <c r="O126" s="1" t="str">
        <f t="shared" si="3"/>
        <v>42</v>
      </c>
      <c r="P126" s="1" t="str">
        <f t="shared" si="4"/>
        <v>LOSS</v>
      </c>
      <c r="Q126" s="1">
        <f t="shared" si="5"/>
        <v>-1</v>
      </c>
    </row>
    <row r="127" ht="15.75" customHeight="1">
      <c r="A127" s="1">
        <v>1.0</v>
      </c>
      <c r="B127" s="18" t="s">
        <v>266</v>
      </c>
      <c r="C127" s="10" t="s">
        <v>32</v>
      </c>
      <c r="D127" s="19">
        <v>44786.0</v>
      </c>
      <c r="E127" s="22">
        <v>0.875</v>
      </c>
      <c r="F127" s="23" t="s">
        <v>24</v>
      </c>
      <c r="G127" s="13" t="s">
        <v>30</v>
      </c>
      <c r="H127" s="1" t="s">
        <v>267</v>
      </c>
      <c r="I127" s="24" t="s">
        <v>59</v>
      </c>
      <c r="J127" s="25">
        <v>81104.0</v>
      </c>
      <c r="K127" s="26">
        <v>0.0</v>
      </c>
      <c r="L127" s="17" t="s">
        <v>268</v>
      </c>
      <c r="M127" s="1">
        <f t="shared" ref="M127:M172" si="10">+HOUR(K127)</f>
        <v>0</v>
      </c>
      <c r="N127" s="1">
        <f t="shared" ref="N127:N172" si="11">+MINUTE(K127)</f>
        <v>0</v>
      </c>
      <c r="O127" s="1" t="str">
        <f t="shared" si="3"/>
        <v>00</v>
      </c>
      <c r="P127" s="1" t="str">
        <f t="shared" si="4"/>
        <v>DRAW</v>
      </c>
      <c r="Q127" s="1">
        <f t="shared" si="5"/>
        <v>0</v>
      </c>
    </row>
    <row r="128" ht="15.75" customHeight="1">
      <c r="A128" s="1">
        <v>2.0</v>
      </c>
      <c r="B128" s="18" t="s">
        <v>269</v>
      </c>
      <c r="C128" s="10" t="s">
        <v>29</v>
      </c>
      <c r="D128" s="19">
        <v>44794.0</v>
      </c>
      <c r="E128" s="22">
        <v>0.9166666666666666</v>
      </c>
      <c r="F128" s="23" t="s">
        <v>19</v>
      </c>
      <c r="G128" s="13" t="s">
        <v>270</v>
      </c>
      <c r="H128" s="1" t="s">
        <v>239</v>
      </c>
      <c r="I128" s="24" t="s">
        <v>59</v>
      </c>
      <c r="J128" s="25">
        <v>36201.0</v>
      </c>
      <c r="K128" s="26">
        <v>0.044444444444444446</v>
      </c>
      <c r="L128" s="17" t="s">
        <v>268</v>
      </c>
      <c r="M128" s="1">
        <f t="shared" si="10"/>
        <v>1</v>
      </c>
      <c r="N128" s="1">
        <f t="shared" si="11"/>
        <v>4</v>
      </c>
      <c r="O128" s="1" t="str">
        <f t="shared" si="3"/>
        <v>14</v>
      </c>
      <c r="P128" s="1" t="str">
        <f t="shared" si="4"/>
        <v>WIN</v>
      </c>
      <c r="Q128" s="1">
        <f t="shared" si="5"/>
        <v>1</v>
      </c>
    </row>
    <row r="129" ht="15.75" customHeight="1">
      <c r="A129" s="1">
        <v>3.0</v>
      </c>
      <c r="B129" s="18" t="s">
        <v>271</v>
      </c>
      <c r="C129" s="10" t="s">
        <v>29</v>
      </c>
      <c r="D129" s="19">
        <v>44801.0</v>
      </c>
      <c r="E129" s="22">
        <v>0.8125</v>
      </c>
      <c r="F129" s="23" t="s">
        <v>24</v>
      </c>
      <c r="G129" s="13" t="s">
        <v>272</v>
      </c>
      <c r="H129" s="1" t="s">
        <v>273</v>
      </c>
      <c r="I129" s="24" t="s">
        <v>59</v>
      </c>
      <c r="J129" s="25">
        <v>83972.0</v>
      </c>
      <c r="K129" s="26">
        <v>0.16666666666666666</v>
      </c>
      <c r="L129" s="17" t="s">
        <v>268</v>
      </c>
      <c r="M129" s="1">
        <f t="shared" si="10"/>
        <v>4</v>
      </c>
      <c r="N129" s="1">
        <f t="shared" si="11"/>
        <v>0</v>
      </c>
      <c r="O129" s="1" t="str">
        <f t="shared" si="3"/>
        <v>40</v>
      </c>
      <c r="P129" s="1" t="str">
        <f t="shared" si="4"/>
        <v>WIN</v>
      </c>
      <c r="Q129" s="1">
        <f t="shared" si="5"/>
        <v>1</v>
      </c>
    </row>
    <row r="130" ht="15.75" customHeight="1">
      <c r="A130" s="1">
        <v>4.0</v>
      </c>
      <c r="B130" s="18" t="s">
        <v>274</v>
      </c>
      <c r="C130" s="10" t="s">
        <v>32</v>
      </c>
      <c r="D130" s="19">
        <v>44807.0</v>
      </c>
      <c r="E130" s="22">
        <v>0.875</v>
      </c>
      <c r="F130" s="23" t="s">
        <v>19</v>
      </c>
      <c r="G130" s="13" t="s">
        <v>87</v>
      </c>
      <c r="H130" s="1" t="s">
        <v>275</v>
      </c>
      <c r="I130" s="24" t="s">
        <v>59</v>
      </c>
      <c r="J130" s="25">
        <v>40233.0</v>
      </c>
      <c r="K130" s="26">
        <v>0.0020833333333333333</v>
      </c>
      <c r="L130" s="17" t="s">
        <v>268</v>
      </c>
      <c r="M130" s="1">
        <f t="shared" si="10"/>
        <v>0</v>
      </c>
      <c r="N130" s="1">
        <f t="shared" si="11"/>
        <v>3</v>
      </c>
      <c r="O130" s="1" t="str">
        <f t="shared" si="3"/>
        <v>03</v>
      </c>
      <c r="P130" s="1" t="str">
        <f t="shared" si="4"/>
        <v>WIN</v>
      </c>
      <c r="Q130" s="1">
        <f t="shared" si="5"/>
        <v>1</v>
      </c>
    </row>
    <row r="131" ht="15.75" customHeight="1">
      <c r="A131" s="1">
        <v>5.0</v>
      </c>
      <c r="B131" s="18" t="s">
        <v>276</v>
      </c>
      <c r="C131" s="10" t="s">
        <v>32</v>
      </c>
      <c r="D131" s="19">
        <v>44814.0</v>
      </c>
      <c r="E131" s="22">
        <v>0.7708333333333334</v>
      </c>
      <c r="F131" s="23" t="s">
        <v>19</v>
      </c>
      <c r="G131" s="13" t="s">
        <v>33</v>
      </c>
      <c r="H131" s="1" t="s">
        <v>277</v>
      </c>
      <c r="I131" s="24" t="s">
        <v>59</v>
      </c>
      <c r="J131" s="25">
        <v>19530.0</v>
      </c>
      <c r="K131" s="26">
        <v>0.002777777777777778</v>
      </c>
      <c r="L131" s="17" t="s">
        <v>268</v>
      </c>
      <c r="M131" s="1">
        <f t="shared" si="10"/>
        <v>0</v>
      </c>
      <c r="N131" s="1">
        <f t="shared" si="11"/>
        <v>4</v>
      </c>
      <c r="O131" s="1" t="str">
        <f t="shared" si="3"/>
        <v>04</v>
      </c>
      <c r="P131" s="1" t="str">
        <f t="shared" si="4"/>
        <v>WIN</v>
      </c>
      <c r="Q131" s="1">
        <f t="shared" si="5"/>
        <v>1</v>
      </c>
    </row>
    <row r="132" ht="15.75" customHeight="1">
      <c r="A132" s="1">
        <v>6.0</v>
      </c>
      <c r="B132" s="18" t="s">
        <v>278</v>
      </c>
      <c r="C132" s="10" t="s">
        <v>32</v>
      </c>
      <c r="D132" s="19">
        <v>44821.0</v>
      </c>
      <c r="E132" s="22">
        <v>0.6770833333333334</v>
      </c>
      <c r="F132" s="23" t="s">
        <v>24</v>
      </c>
      <c r="G132" s="13" t="s">
        <v>33</v>
      </c>
      <c r="H132" s="1" t="s">
        <v>279</v>
      </c>
      <c r="I132" s="24" t="s">
        <v>59</v>
      </c>
      <c r="J132" s="25">
        <v>85073.0</v>
      </c>
      <c r="K132" s="26">
        <v>0.125</v>
      </c>
      <c r="L132" s="17" t="s">
        <v>268</v>
      </c>
      <c r="M132" s="1">
        <f t="shared" si="10"/>
        <v>3</v>
      </c>
      <c r="N132" s="1">
        <f t="shared" si="11"/>
        <v>0</v>
      </c>
      <c r="O132" s="1" t="str">
        <f t="shared" si="3"/>
        <v>30</v>
      </c>
      <c r="P132" s="1" t="str">
        <f t="shared" si="4"/>
        <v>WIN</v>
      </c>
      <c r="Q132" s="1">
        <f t="shared" si="5"/>
        <v>1</v>
      </c>
    </row>
    <row r="133" ht="15.75" customHeight="1">
      <c r="A133" s="29">
        <v>7.0</v>
      </c>
      <c r="B133" s="18" t="s">
        <v>280</v>
      </c>
      <c r="C133" s="10" t="s">
        <v>32</v>
      </c>
      <c r="D133" s="19">
        <v>44835.0</v>
      </c>
      <c r="E133" s="30">
        <v>0.875</v>
      </c>
      <c r="F133" s="31" t="s">
        <v>19</v>
      </c>
      <c r="G133" s="32" t="s">
        <v>33</v>
      </c>
      <c r="H133" s="29" t="s">
        <v>281</v>
      </c>
      <c r="I133" s="33" t="s">
        <v>59</v>
      </c>
      <c r="J133" s="34">
        <v>18103.0</v>
      </c>
      <c r="K133" s="35">
        <v>6.944444444444445E-4</v>
      </c>
      <c r="L133" s="36" t="s">
        <v>268</v>
      </c>
      <c r="M133" s="29">
        <f t="shared" si="10"/>
        <v>0</v>
      </c>
      <c r="N133" s="29">
        <f t="shared" si="11"/>
        <v>1</v>
      </c>
      <c r="O133" s="1" t="str">
        <f t="shared" si="3"/>
        <v>01</v>
      </c>
      <c r="P133" s="29" t="str">
        <f t="shared" si="4"/>
        <v>WIN</v>
      </c>
      <c r="Q133" s="29">
        <f t="shared" si="5"/>
        <v>1</v>
      </c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 ht="15.75" customHeight="1">
      <c r="A134" s="1">
        <v>8.0</v>
      </c>
      <c r="B134" s="18" t="s">
        <v>282</v>
      </c>
      <c r="C134" s="10" t="s">
        <v>29</v>
      </c>
      <c r="D134" s="19">
        <v>44843.0</v>
      </c>
      <c r="E134" s="22">
        <v>0.875</v>
      </c>
      <c r="F134" s="23" t="s">
        <v>24</v>
      </c>
      <c r="G134" s="13" t="s">
        <v>30</v>
      </c>
      <c r="H134" s="1" t="s">
        <v>283</v>
      </c>
      <c r="I134" s="24" t="s">
        <v>59</v>
      </c>
      <c r="J134" s="25">
        <v>81525.0</v>
      </c>
      <c r="K134" s="26">
        <v>0.041666666666666664</v>
      </c>
      <c r="L134" s="17" t="s">
        <v>268</v>
      </c>
      <c r="M134" s="1">
        <f t="shared" si="10"/>
        <v>1</v>
      </c>
      <c r="N134" s="1">
        <f t="shared" si="11"/>
        <v>0</v>
      </c>
      <c r="O134" s="1" t="str">
        <f t="shared" si="3"/>
        <v>10</v>
      </c>
      <c r="P134" s="1" t="str">
        <f t="shared" si="4"/>
        <v>WIN</v>
      </c>
      <c r="Q134" s="1">
        <f t="shared" si="5"/>
        <v>1</v>
      </c>
    </row>
    <row r="135" ht="15.75" customHeight="1">
      <c r="A135" s="1">
        <v>9.0</v>
      </c>
      <c r="B135" s="18" t="s">
        <v>284</v>
      </c>
      <c r="C135" s="10" t="s">
        <v>29</v>
      </c>
      <c r="D135" s="21">
        <v>44850.0</v>
      </c>
      <c r="E135" s="22">
        <v>0.6770833333333334</v>
      </c>
      <c r="F135" s="23" t="s">
        <v>19</v>
      </c>
      <c r="G135" s="13" t="s">
        <v>30</v>
      </c>
      <c r="H135" s="1" t="s">
        <v>73</v>
      </c>
      <c r="I135" s="24" t="s">
        <v>59</v>
      </c>
      <c r="J135" s="25">
        <v>62876.0</v>
      </c>
      <c r="K135" s="26">
        <v>0.12569444444444444</v>
      </c>
      <c r="L135" s="17" t="s">
        <v>268</v>
      </c>
      <c r="M135" s="1">
        <f t="shared" si="10"/>
        <v>3</v>
      </c>
      <c r="N135" s="1">
        <f t="shared" si="11"/>
        <v>1</v>
      </c>
      <c r="O135" s="1" t="str">
        <f t="shared" si="3"/>
        <v>31</v>
      </c>
      <c r="P135" s="1" t="str">
        <f t="shared" si="4"/>
        <v>LOSS</v>
      </c>
      <c r="Q135" s="1">
        <f t="shared" si="5"/>
        <v>-1</v>
      </c>
    </row>
    <row r="136" ht="15.75" customHeight="1">
      <c r="A136" s="1">
        <v>10.0</v>
      </c>
      <c r="B136" s="18" t="s">
        <v>285</v>
      </c>
      <c r="C136" s="10" t="s">
        <v>18</v>
      </c>
      <c r="D136" s="21">
        <v>44854.0</v>
      </c>
      <c r="E136" s="22">
        <v>0.875</v>
      </c>
      <c r="F136" s="23" t="s">
        <v>24</v>
      </c>
      <c r="G136" s="13" t="s">
        <v>33</v>
      </c>
      <c r="H136" s="1" t="s">
        <v>286</v>
      </c>
      <c r="I136" s="24" t="s">
        <v>59</v>
      </c>
      <c r="J136" s="25">
        <v>73261.0</v>
      </c>
      <c r="K136" s="26">
        <v>0.125</v>
      </c>
      <c r="L136" s="17" t="s">
        <v>268</v>
      </c>
      <c r="M136" s="1">
        <f t="shared" si="10"/>
        <v>3</v>
      </c>
      <c r="N136" s="1">
        <f t="shared" si="11"/>
        <v>0</v>
      </c>
      <c r="O136" s="1" t="str">
        <f t="shared" si="3"/>
        <v>30</v>
      </c>
      <c r="P136" s="1" t="str">
        <f t="shared" si="4"/>
        <v>WIN</v>
      </c>
      <c r="Q136" s="1">
        <f t="shared" si="5"/>
        <v>1</v>
      </c>
    </row>
    <row r="137" ht="15.75" customHeight="1">
      <c r="A137" s="1">
        <v>11.0</v>
      </c>
      <c r="B137" s="18" t="s">
        <v>287</v>
      </c>
      <c r="C137" s="10" t="s">
        <v>29</v>
      </c>
      <c r="D137" s="21">
        <v>44857.0</v>
      </c>
      <c r="E137" s="22">
        <v>0.875</v>
      </c>
      <c r="F137" s="23" t="s">
        <v>24</v>
      </c>
      <c r="G137" s="13" t="s">
        <v>33</v>
      </c>
      <c r="H137" s="1" t="s">
        <v>288</v>
      </c>
      <c r="I137" s="24" t="s">
        <v>59</v>
      </c>
      <c r="J137" s="25">
        <v>84817.0</v>
      </c>
      <c r="K137" s="26">
        <v>0.16666666666666666</v>
      </c>
      <c r="L137" s="17" t="s">
        <v>268</v>
      </c>
      <c r="M137" s="1">
        <f t="shared" si="10"/>
        <v>4</v>
      </c>
      <c r="N137" s="1">
        <f t="shared" si="11"/>
        <v>0</v>
      </c>
      <c r="O137" s="1" t="str">
        <f t="shared" si="3"/>
        <v>40</v>
      </c>
      <c r="P137" s="1" t="str">
        <f t="shared" si="4"/>
        <v>WIN</v>
      </c>
      <c r="Q137" s="1">
        <f t="shared" si="5"/>
        <v>1</v>
      </c>
    </row>
    <row r="138" ht="15.75" customHeight="1">
      <c r="A138" s="1">
        <v>12.0</v>
      </c>
      <c r="B138" s="18" t="s">
        <v>289</v>
      </c>
      <c r="C138" s="10" t="s">
        <v>32</v>
      </c>
      <c r="D138" s="21">
        <v>44863.0</v>
      </c>
      <c r="E138" s="22">
        <v>0.875</v>
      </c>
      <c r="F138" s="23" t="s">
        <v>19</v>
      </c>
      <c r="G138" s="13" t="s">
        <v>33</v>
      </c>
      <c r="H138" s="1" t="s">
        <v>44</v>
      </c>
      <c r="I138" s="24" t="s">
        <v>59</v>
      </c>
      <c r="J138" s="25">
        <v>46007.0</v>
      </c>
      <c r="K138" s="26">
        <v>6.944444444444445E-4</v>
      </c>
      <c r="L138" s="17" t="s">
        <v>268</v>
      </c>
      <c r="M138" s="1">
        <f t="shared" si="10"/>
        <v>0</v>
      </c>
      <c r="N138" s="1">
        <f t="shared" si="11"/>
        <v>1</v>
      </c>
      <c r="O138" s="1" t="str">
        <f t="shared" si="3"/>
        <v>01</v>
      </c>
      <c r="P138" s="1" t="str">
        <f t="shared" si="4"/>
        <v>WIN</v>
      </c>
      <c r="Q138" s="1">
        <f t="shared" si="5"/>
        <v>1</v>
      </c>
    </row>
    <row r="139" ht="15.75" customHeight="1">
      <c r="A139" s="1">
        <v>13.0</v>
      </c>
      <c r="B139" s="18" t="s">
        <v>290</v>
      </c>
      <c r="C139" s="10" t="s">
        <v>32</v>
      </c>
      <c r="D139" s="19">
        <v>44870.0</v>
      </c>
      <c r="E139" s="22">
        <v>0.875</v>
      </c>
      <c r="F139" s="23" t="s">
        <v>24</v>
      </c>
      <c r="G139" s="13" t="s">
        <v>33</v>
      </c>
      <c r="H139" s="1" t="s">
        <v>291</v>
      </c>
      <c r="I139" s="24" t="s">
        <v>59</v>
      </c>
      <c r="J139" s="25">
        <v>92605.0</v>
      </c>
      <c r="K139" s="26">
        <v>0.08333333333333333</v>
      </c>
      <c r="L139" s="17" t="s">
        <v>268</v>
      </c>
      <c r="M139" s="1">
        <f t="shared" si="10"/>
        <v>2</v>
      </c>
      <c r="N139" s="1">
        <f t="shared" si="11"/>
        <v>0</v>
      </c>
      <c r="O139" s="1" t="str">
        <f t="shared" si="3"/>
        <v>20</v>
      </c>
      <c r="P139" s="1" t="str">
        <f t="shared" si="4"/>
        <v>WIN</v>
      </c>
      <c r="Q139" s="1">
        <f t="shared" si="5"/>
        <v>1</v>
      </c>
    </row>
    <row r="140" ht="15.75" customHeight="1">
      <c r="A140" s="1">
        <v>14.0</v>
      </c>
      <c r="B140" s="18" t="s">
        <v>292</v>
      </c>
      <c r="C140" s="10" t="s">
        <v>26</v>
      </c>
      <c r="D140" s="19">
        <v>44873.0</v>
      </c>
      <c r="E140" s="22">
        <v>0.8958333333333334</v>
      </c>
      <c r="F140" s="23" t="s">
        <v>19</v>
      </c>
      <c r="G140" s="13" t="s">
        <v>30</v>
      </c>
      <c r="H140" s="1" t="s">
        <v>293</v>
      </c>
      <c r="I140" s="24" t="s">
        <v>59</v>
      </c>
      <c r="J140" s="25">
        <v>21603.0</v>
      </c>
      <c r="K140" s="26">
        <v>0.043055555555555555</v>
      </c>
      <c r="L140" s="17" t="s">
        <v>268</v>
      </c>
      <c r="M140" s="1">
        <f t="shared" si="10"/>
        <v>1</v>
      </c>
      <c r="N140" s="1">
        <f t="shared" si="11"/>
        <v>2</v>
      </c>
      <c r="O140" s="1" t="str">
        <f t="shared" si="3"/>
        <v>12</v>
      </c>
      <c r="P140" s="1" t="str">
        <f t="shared" si="4"/>
        <v>WIN</v>
      </c>
      <c r="Q140" s="1">
        <f t="shared" si="5"/>
        <v>1</v>
      </c>
    </row>
    <row r="141" ht="15.75" customHeight="1">
      <c r="A141" s="1">
        <v>15.0</v>
      </c>
      <c r="B141" s="18" t="s">
        <v>294</v>
      </c>
      <c r="C141" s="10" t="s">
        <v>32</v>
      </c>
      <c r="D141" s="21">
        <v>44926.0</v>
      </c>
      <c r="E141" s="22">
        <v>0.5833333333333334</v>
      </c>
      <c r="F141" s="23" t="s">
        <v>24</v>
      </c>
      <c r="G141" s="13" t="s">
        <v>30</v>
      </c>
      <c r="H141" s="1" t="s">
        <v>75</v>
      </c>
      <c r="I141" s="24" t="s">
        <v>59</v>
      </c>
      <c r="J141" s="25">
        <v>88095.0</v>
      </c>
      <c r="K141" s="26">
        <v>0.04236111111111111</v>
      </c>
      <c r="L141" s="17" t="s">
        <v>268</v>
      </c>
      <c r="M141" s="1">
        <f t="shared" si="10"/>
        <v>1</v>
      </c>
      <c r="N141" s="1">
        <f t="shared" si="11"/>
        <v>1</v>
      </c>
      <c r="O141" s="1" t="str">
        <f t="shared" si="3"/>
        <v>11</v>
      </c>
      <c r="P141" s="1" t="str">
        <f t="shared" si="4"/>
        <v>DRAW</v>
      </c>
      <c r="Q141" s="1">
        <f t="shared" si="5"/>
        <v>0</v>
      </c>
    </row>
    <row r="142" ht="15.75" customHeight="1">
      <c r="A142" s="1">
        <v>16.0</v>
      </c>
      <c r="B142" s="18" t="s">
        <v>295</v>
      </c>
      <c r="C142" s="10" t="s">
        <v>29</v>
      </c>
      <c r="D142" s="19">
        <v>44934.0</v>
      </c>
      <c r="E142" s="22">
        <v>0.875</v>
      </c>
      <c r="F142" s="23" t="s">
        <v>19</v>
      </c>
      <c r="G142" s="13" t="s">
        <v>30</v>
      </c>
      <c r="H142" s="1" t="s">
        <v>227</v>
      </c>
      <c r="I142" s="24" t="s">
        <v>59</v>
      </c>
      <c r="J142" s="25">
        <v>63493.0</v>
      </c>
      <c r="K142" s="26">
        <v>6.944444444444445E-4</v>
      </c>
      <c r="L142" s="17" t="s">
        <v>268</v>
      </c>
      <c r="M142" s="1">
        <f t="shared" si="10"/>
        <v>0</v>
      </c>
      <c r="N142" s="1">
        <f t="shared" si="11"/>
        <v>1</v>
      </c>
      <c r="O142" s="1" t="str">
        <f t="shared" si="3"/>
        <v>01</v>
      </c>
      <c r="P142" s="1" t="str">
        <f t="shared" si="4"/>
        <v>WIN</v>
      </c>
      <c r="Q142" s="1">
        <f t="shared" si="5"/>
        <v>1</v>
      </c>
    </row>
    <row r="143" ht="15.75" customHeight="1">
      <c r="A143" s="1">
        <v>17.0</v>
      </c>
      <c r="B143" s="18" t="s">
        <v>296</v>
      </c>
      <c r="C143" s="10" t="s">
        <v>23</v>
      </c>
      <c r="D143" s="19">
        <v>44958.0</v>
      </c>
      <c r="E143" s="22">
        <v>0.875</v>
      </c>
      <c r="F143" s="23" t="s">
        <v>19</v>
      </c>
      <c r="G143" s="13" t="s">
        <v>30</v>
      </c>
      <c r="H143" s="1" t="s">
        <v>297</v>
      </c>
      <c r="I143" s="24" t="s">
        <v>59</v>
      </c>
      <c r="J143" s="25">
        <v>48181.0</v>
      </c>
      <c r="K143" s="26">
        <v>0.043055555555555555</v>
      </c>
      <c r="L143" s="17" t="s">
        <v>268</v>
      </c>
      <c r="M143" s="1">
        <f t="shared" si="10"/>
        <v>1</v>
      </c>
      <c r="N143" s="1">
        <f t="shared" si="11"/>
        <v>2</v>
      </c>
      <c r="O143" s="1" t="str">
        <f t="shared" si="3"/>
        <v>12</v>
      </c>
      <c r="P143" s="1" t="str">
        <f t="shared" si="4"/>
        <v>WIN</v>
      </c>
      <c r="Q143" s="1">
        <f t="shared" si="5"/>
        <v>1</v>
      </c>
    </row>
    <row r="144" ht="15.75" customHeight="1">
      <c r="A144" s="1">
        <v>18.0</v>
      </c>
      <c r="B144" s="18" t="s">
        <v>298</v>
      </c>
      <c r="C144" s="10" t="s">
        <v>29</v>
      </c>
      <c r="D144" s="19">
        <v>44948.0</v>
      </c>
      <c r="E144" s="22">
        <v>0.7708333333333334</v>
      </c>
      <c r="F144" s="23" t="s">
        <v>24</v>
      </c>
      <c r="G144" s="13" t="s">
        <v>30</v>
      </c>
      <c r="H144" s="1" t="s">
        <v>92</v>
      </c>
      <c r="I144" s="24" t="s">
        <v>59</v>
      </c>
      <c r="J144" s="25">
        <v>79814.0</v>
      </c>
      <c r="K144" s="26">
        <v>0.041666666666666664</v>
      </c>
      <c r="L144" s="17" t="s">
        <v>268</v>
      </c>
      <c r="M144" s="1">
        <f t="shared" si="10"/>
        <v>1</v>
      </c>
      <c r="N144" s="1">
        <f t="shared" si="11"/>
        <v>0</v>
      </c>
      <c r="O144" s="1" t="str">
        <f t="shared" si="3"/>
        <v>10</v>
      </c>
      <c r="P144" s="1" t="str">
        <f t="shared" si="4"/>
        <v>WIN</v>
      </c>
      <c r="Q144" s="1">
        <f t="shared" si="5"/>
        <v>1</v>
      </c>
    </row>
    <row r="145" ht="15.75" customHeight="1">
      <c r="A145" s="1">
        <v>19.0</v>
      </c>
      <c r="B145" s="18" t="s">
        <v>299</v>
      </c>
      <c r="C145" s="10" t="s">
        <v>32</v>
      </c>
      <c r="D145" s="19">
        <v>44954.0</v>
      </c>
      <c r="E145" s="22">
        <v>0.6770833333333334</v>
      </c>
      <c r="F145" s="23" t="s">
        <v>19</v>
      </c>
      <c r="G145" s="13" t="s">
        <v>30</v>
      </c>
      <c r="H145" s="1" t="s">
        <v>300</v>
      </c>
      <c r="I145" s="24" t="s">
        <v>59</v>
      </c>
      <c r="J145" s="25">
        <v>13402.0</v>
      </c>
      <c r="K145" s="26">
        <v>6.944444444444445E-4</v>
      </c>
      <c r="L145" s="17" t="s">
        <v>268</v>
      </c>
      <c r="M145" s="1">
        <f t="shared" si="10"/>
        <v>0</v>
      </c>
      <c r="N145" s="1">
        <f t="shared" si="11"/>
        <v>1</v>
      </c>
      <c r="O145" s="1" t="str">
        <f t="shared" si="3"/>
        <v>01</v>
      </c>
      <c r="P145" s="1" t="str">
        <f t="shared" si="4"/>
        <v>WIN</v>
      </c>
      <c r="Q145" s="1">
        <f t="shared" si="5"/>
        <v>1</v>
      </c>
    </row>
    <row r="146" ht="15.75" customHeight="1">
      <c r="A146" s="1">
        <v>20.0</v>
      </c>
      <c r="B146" s="18" t="s">
        <v>301</v>
      </c>
      <c r="C146" s="10" t="s">
        <v>29</v>
      </c>
      <c r="D146" s="19">
        <v>44962.0</v>
      </c>
      <c r="E146" s="22">
        <v>0.875</v>
      </c>
      <c r="F146" s="23" t="s">
        <v>24</v>
      </c>
      <c r="G146" s="13" t="s">
        <v>30</v>
      </c>
      <c r="H146" s="1" t="s">
        <v>244</v>
      </c>
      <c r="I146" s="24" t="s">
        <v>59</v>
      </c>
      <c r="J146" s="25">
        <v>77987.0</v>
      </c>
      <c r="K146" s="26">
        <v>0.125</v>
      </c>
      <c r="L146" s="17" t="s">
        <v>268</v>
      </c>
      <c r="M146" s="1">
        <f t="shared" si="10"/>
        <v>3</v>
      </c>
      <c r="N146" s="1">
        <f t="shared" si="11"/>
        <v>0</v>
      </c>
      <c r="O146" s="1" t="str">
        <f t="shared" si="3"/>
        <v>30</v>
      </c>
      <c r="P146" s="1" t="str">
        <f t="shared" si="4"/>
        <v>WIN</v>
      </c>
      <c r="Q146" s="1">
        <f t="shared" si="5"/>
        <v>1</v>
      </c>
    </row>
    <row r="147" ht="15.75" customHeight="1">
      <c r="A147" s="1">
        <v>21.0</v>
      </c>
      <c r="B147" s="18" t="s">
        <v>302</v>
      </c>
      <c r="C147" s="10" t="s">
        <v>29</v>
      </c>
      <c r="D147" s="19">
        <v>44969.0</v>
      </c>
      <c r="E147" s="22">
        <v>0.875</v>
      </c>
      <c r="F147" s="23" t="s">
        <v>19</v>
      </c>
      <c r="G147" s="13" t="s">
        <v>30</v>
      </c>
      <c r="H147" s="1" t="s">
        <v>303</v>
      </c>
      <c r="I147" s="24" t="s">
        <v>59</v>
      </c>
      <c r="J147" s="25">
        <v>21178.0</v>
      </c>
      <c r="K147" s="26">
        <v>6.944444444444445E-4</v>
      </c>
      <c r="L147" s="17" t="s">
        <v>268</v>
      </c>
      <c r="M147" s="1">
        <f t="shared" si="10"/>
        <v>0</v>
      </c>
      <c r="N147" s="1">
        <f t="shared" si="11"/>
        <v>1</v>
      </c>
      <c r="O147" s="1" t="str">
        <f t="shared" si="3"/>
        <v>01</v>
      </c>
      <c r="P147" s="1" t="str">
        <f t="shared" si="4"/>
        <v>WIN</v>
      </c>
      <c r="Q147" s="1">
        <f t="shared" si="5"/>
        <v>1</v>
      </c>
    </row>
    <row r="148" ht="15.75" customHeight="1">
      <c r="A148" s="1">
        <v>22.0</v>
      </c>
      <c r="B148" s="18" t="s">
        <v>304</v>
      </c>
      <c r="C148" s="10" t="s">
        <v>29</v>
      </c>
      <c r="D148" s="19">
        <v>44976.0</v>
      </c>
      <c r="E148" s="22">
        <v>0.875</v>
      </c>
      <c r="F148" s="23" t="s">
        <v>24</v>
      </c>
      <c r="G148" s="13" t="s">
        <v>30</v>
      </c>
      <c r="H148" s="1" t="s">
        <v>305</v>
      </c>
      <c r="I148" s="24" t="s">
        <v>59</v>
      </c>
      <c r="J148" s="25">
        <v>72010.0</v>
      </c>
      <c r="K148" s="26">
        <v>0.08333333333333333</v>
      </c>
      <c r="L148" s="17" t="s">
        <v>268</v>
      </c>
      <c r="M148" s="1">
        <f t="shared" si="10"/>
        <v>2</v>
      </c>
      <c r="N148" s="1">
        <f t="shared" si="11"/>
        <v>0</v>
      </c>
      <c r="O148" s="1" t="str">
        <f t="shared" si="3"/>
        <v>20</v>
      </c>
      <c r="P148" s="1" t="str">
        <f t="shared" si="4"/>
        <v>WIN</v>
      </c>
      <c r="Q148" s="1">
        <f t="shared" si="5"/>
        <v>1</v>
      </c>
    </row>
    <row r="149" ht="15.75" customHeight="1">
      <c r="A149" s="1">
        <v>23.0</v>
      </c>
      <c r="B149" s="18" t="s">
        <v>306</v>
      </c>
      <c r="C149" s="10" t="s">
        <v>29</v>
      </c>
      <c r="D149" s="19">
        <v>44983.0</v>
      </c>
      <c r="E149" s="22">
        <v>0.7708333333333334</v>
      </c>
      <c r="F149" s="23" t="s">
        <v>19</v>
      </c>
      <c r="G149" s="13" t="s">
        <v>30</v>
      </c>
      <c r="H149" s="1" t="s">
        <v>307</v>
      </c>
      <c r="I149" s="24" t="s">
        <v>59</v>
      </c>
      <c r="J149" s="25">
        <v>15279.0</v>
      </c>
      <c r="K149" s="26">
        <v>0.041666666666666664</v>
      </c>
      <c r="L149" s="17" t="s">
        <v>268</v>
      </c>
      <c r="M149" s="1">
        <f t="shared" si="10"/>
        <v>1</v>
      </c>
      <c r="N149" s="1">
        <f t="shared" si="11"/>
        <v>0</v>
      </c>
      <c r="O149" s="1" t="str">
        <f t="shared" si="3"/>
        <v>10</v>
      </c>
      <c r="P149" s="1" t="str">
        <f t="shared" si="4"/>
        <v>LOSS</v>
      </c>
      <c r="Q149" s="1">
        <f t="shared" si="5"/>
        <v>-1</v>
      </c>
    </row>
    <row r="150" ht="15.75" customHeight="1">
      <c r="A150" s="1">
        <v>24.0</v>
      </c>
      <c r="B150" s="18" t="s">
        <v>308</v>
      </c>
      <c r="C150" s="10" t="s">
        <v>29</v>
      </c>
      <c r="D150" s="19">
        <v>44990.0</v>
      </c>
      <c r="E150" s="22">
        <v>0.6770833333333334</v>
      </c>
      <c r="F150" s="23" t="s">
        <v>24</v>
      </c>
      <c r="G150" s="13" t="s">
        <v>30</v>
      </c>
      <c r="H150" s="1" t="s">
        <v>309</v>
      </c>
      <c r="I150" s="24" t="s">
        <v>59</v>
      </c>
      <c r="J150" s="25">
        <v>89644.0</v>
      </c>
      <c r="K150" s="26">
        <v>0.041666666666666664</v>
      </c>
      <c r="L150" s="17" t="s">
        <v>268</v>
      </c>
      <c r="M150" s="1">
        <f t="shared" si="10"/>
        <v>1</v>
      </c>
      <c r="N150" s="1">
        <f t="shared" si="11"/>
        <v>0</v>
      </c>
      <c r="O150" s="1" t="str">
        <f t="shared" si="3"/>
        <v>10</v>
      </c>
      <c r="P150" s="1" t="str">
        <f t="shared" si="4"/>
        <v>WIN</v>
      </c>
      <c r="Q150" s="1">
        <f t="shared" si="5"/>
        <v>1</v>
      </c>
    </row>
    <row r="151" ht="15.75" customHeight="1">
      <c r="A151" s="1">
        <v>25.0</v>
      </c>
      <c r="B151" s="18" t="s">
        <v>310</v>
      </c>
      <c r="C151" s="10" t="s">
        <v>29</v>
      </c>
      <c r="D151" s="19">
        <v>44997.0</v>
      </c>
      <c r="E151" s="22">
        <v>0.875</v>
      </c>
      <c r="F151" s="23" t="s">
        <v>19</v>
      </c>
      <c r="G151" s="13" t="s">
        <v>30</v>
      </c>
      <c r="H151" s="1" t="s">
        <v>311</v>
      </c>
      <c r="I151" s="24" t="s">
        <v>59</v>
      </c>
      <c r="J151" s="25">
        <v>49741.0</v>
      </c>
      <c r="K151" s="26">
        <v>6.944444444444445E-4</v>
      </c>
      <c r="L151" s="17" t="s">
        <v>268</v>
      </c>
      <c r="M151" s="1">
        <f t="shared" si="10"/>
        <v>0</v>
      </c>
      <c r="N151" s="1">
        <f t="shared" si="11"/>
        <v>1</v>
      </c>
      <c r="O151" s="1" t="str">
        <f t="shared" si="3"/>
        <v>01</v>
      </c>
      <c r="P151" s="1" t="str">
        <f t="shared" si="4"/>
        <v>WIN</v>
      </c>
      <c r="Q151" s="1">
        <f t="shared" si="5"/>
        <v>1</v>
      </c>
    </row>
    <row r="152" ht="15.75" customHeight="1">
      <c r="A152" s="1">
        <v>26.0</v>
      </c>
      <c r="B152" s="18" t="s">
        <v>312</v>
      </c>
      <c r="C152" s="10" t="s">
        <v>29</v>
      </c>
      <c r="D152" s="19">
        <v>45004.0</v>
      </c>
      <c r="E152" s="22">
        <v>0.875</v>
      </c>
      <c r="F152" s="23" t="s">
        <v>24</v>
      </c>
      <c r="G152" s="13" t="s">
        <v>30</v>
      </c>
      <c r="H152" s="1" t="s">
        <v>73</v>
      </c>
      <c r="I152" s="24" t="s">
        <v>59</v>
      </c>
      <c r="J152" s="25">
        <v>95745.0</v>
      </c>
      <c r="K152" s="26">
        <v>0.08402777777777778</v>
      </c>
      <c r="L152" s="17" t="s">
        <v>268</v>
      </c>
      <c r="M152" s="1">
        <f t="shared" si="10"/>
        <v>2</v>
      </c>
      <c r="N152" s="1">
        <f t="shared" si="11"/>
        <v>1</v>
      </c>
      <c r="O152" s="1" t="str">
        <f t="shared" si="3"/>
        <v>21</v>
      </c>
      <c r="P152" s="1" t="str">
        <f t="shared" si="4"/>
        <v>WIN</v>
      </c>
      <c r="Q152" s="1">
        <f t="shared" si="5"/>
        <v>1</v>
      </c>
    </row>
    <row r="153" ht="15.75" customHeight="1">
      <c r="A153" s="1">
        <v>27.0</v>
      </c>
      <c r="B153" s="18" t="s">
        <v>313</v>
      </c>
      <c r="C153" s="10" t="s">
        <v>32</v>
      </c>
      <c r="D153" s="19">
        <v>45017.0</v>
      </c>
      <c r="E153" s="22">
        <v>0.875</v>
      </c>
      <c r="F153" s="23" t="s">
        <v>19</v>
      </c>
      <c r="G153" s="13" t="s">
        <v>30</v>
      </c>
      <c r="H153" s="1" t="s">
        <v>314</v>
      </c>
      <c r="I153" s="24" t="s">
        <v>59</v>
      </c>
      <c r="J153" s="25">
        <v>28142.0</v>
      </c>
      <c r="K153" s="26">
        <v>0.002777777777777778</v>
      </c>
      <c r="L153" s="17" t="s">
        <v>268</v>
      </c>
      <c r="M153" s="1">
        <f t="shared" si="10"/>
        <v>0</v>
      </c>
      <c r="N153" s="1">
        <f t="shared" si="11"/>
        <v>4</v>
      </c>
      <c r="O153" s="1" t="str">
        <f t="shared" si="3"/>
        <v>04</v>
      </c>
      <c r="P153" s="1" t="str">
        <f t="shared" si="4"/>
        <v>WIN</v>
      </c>
      <c r="Q153" s="1">
        <f t="shared" si="5"/>
        <v>1</v>
      </c>
    </row>
    <row r="154" ht="15.75" customHeight="1">
      <c r="A154" s="1">
        <v>28.0</v>
      </c>
      <c r="B154" s="18" t="s">
        <v>315</v>
      </c>
      <c r="C154" s="10" t="s">
        <v>99</v>
      </c>
      <c r="D154" s="19">
        <v>45026.0</v>
      </c>
      <c r="E154" s="22">
        <v>0.875</v>
      </c>
      <c r="F154" s="23" t="s">
        <v>24</v>
      </c>
      <c r="G154" s="13" t="s">
        <v>30</v>
      </c>
      <c r="H154" s="1" t="s">
        <v>300</v>
      </c>
      <c r="I154" s="24" t="s">
        <v>59</v>
      </c>
      <c r="J154" s="25">
        <v>78425.0</v>
      </c>
      <c r="K154" s="26">
        <v>0.0</v>
      </c>
      <c r="L154" s="17" t="s">
        <v>268</v>
      </c>
      <c r="M154" s="1">
        <f t="shared" si="10"/>
        <v>0</v>
      </c>
      <c r="N154" s="1">
        <f t="shared" si="11"/>
        <v>0</v>
      </c>
      <c r="O154" s="1" t="str">
        <f t="shared" si="3"/>
        <v>00</v>
      </c>
      <c r="P154" s="1" t="str">
        <f t="shared" si="4"/>
        <v>DRAW</v>
      </c>
      <c r="Q154" s="1">
        <f t="shared" si="5"/>
        <v>0</v>
      </c>
    </row>
    <row r="155" ht="15.75" customHeight="1">
      <c r="A155" s="1">
        <v>29.0</v>
      </c>
      <c r="B155" s="18" t="s">
        <v>316</v>
      </c>
      <c r="C155" s="10" t="s">
        <v>29</v>
      </c>
      <c r="D155" s="19">
        <v>45032.0</v>
      </c>
      <c r="E155" s="22">
        <v>0.6770833333333334</v>
      </c>
      <c r="F155" s="23" t="s">
        <v>19</v>
      </c>
      <c r="G155" s="13" t="s">
        <v>30</v>
      </c>
      <c r="H155" s="1" t="s">
        <v>92</v>
      </c>
      <c r="I155" s="24" t="s">
        <v>59</v>
      </c>
      <c r="J155" s="25">
        <v>14854.0</v>
      </c>
      <c r="K155" s="26">
        <v>0.0</v>
      </c>
      <c r="L155" s="17" t="s">
        <v>268</v>
      </c>
      <c r="M155" s="1">
        <f t="shared" si="10"/>
        <v>0</v>
      </c>
      <c r="N155" s="1">
        <f t="shared" si="11"/>
        <v>0</v>
      </c>
      <c r="O155" s="1" t="str">
        <f t="shared" si="3"/>
        <v>00</v>
      </c>
      <c r="P155" s="1" t="str">
        <f t="shared" si="4"/>
        <v>DRAW</v>
      </c>
      <c r="Q155" s="1">
        <f t="shared" si="5"/>
        <v>0</v>
      </c>
    </row>
    <row r="156" ht="15.75" customHeight="1">
      <c r="A156" s="1">
        <v>30.0</v>
      </c>
      <c r="B156" s="18" t="s">
        <v>317</v>
      </c>
      <c r="C156" s="10" t="s">
        <v>29</v>
      </c>
      <c r="D156" s="19">
        <v>45039.0</v>
      </c>
      <c r="E156" s="22">
        <v>0.6770833333333334</v>
      </c>
      <c r="F156" s="23" t="s">
        <v>24</v>
      </c>
      <c r="G156" s="13" t="s">
        <v>30</v>
      </c>
      <c r="H156" s="1" t="s">
        <v>107</v>
      </c>
      <c r="I156" s="24" t="s">
        <v>59</v>
      </c>
      <c r="J156" s="25">
        <v>80965.0</v>
      </c>
      <c r="K156" s="26">
        <v>0.041666666666666664</v>
      </c>
      <c r="L156" s="17" t="s">
        <v>268</v>
      </c>
      <c r="M156" s="1">
        <f t="shared" si="10"/>
        <v>1</v>
      </c>
      <c r="N156" s="1">
        <f t="shared" si="11"/>
        <v>0</v>
      </c>
      <c r="O156" s="1" t="str">
        <f t="shared" si="3"/>
        <v>10</v>
      </c>
      <c r="P156" s="1" t="str">
        <f t="shared" si="4"/>
        <v>WIN</v>
      </c>
      <c r="Q156" s="1">
        <f t="shared" si="5"/>
        <v>1</v>
      </c>
    </row>
    <row r="157" ht="15.75" customHeight="1">
      <c r="A157" s="1">
        <v>31.0</v>
      </c>
      <c r="B157" s="18" t="s">
        <v>318</v>
      </c>
      <c r="C157" s="10" t="s">
        <v>23</v>
      </c>
      <c r="D157" s="19">
        <v>45042.0</v>
      </c>
      <c r="E157" s="22">
        <v>0.9166666666666666</v>
      </c>
      <c r="F157" s="23" t="s">
        <v>19</v>
      </c>
      <c r="G157" s="13" t="s">
        <v>30</v>
      </c>
      <c r="H157" s="1" t="s">
        <v>319</v>
      </c>
      <c r="I157" s="24" t="s">
        <v>59</v>
      </c>
      <c r="J157" s="25">
        <v>13657.0</v>
      </c>
      <c r="K157" s="26">
        <v>0.08402777777777778</v>
      </c>
      <c r="L157" s="17" t="s">
        <v>268</v>
      </c>
      <c r="M157" s="1">
        <f t="shared" si="10"/>
        <v>2</v>
      </c>
      <c r="N157" s="1">
        <f t="shared" si="11"/>
        <v>1</v>
      </c>
      <c r="O157" s="1" t="str">
        <f t="shared" si="3"/>
        <v>21</v>
      </c>
      <c r="P157" s="1" t="str">
        <f t="shared" si="4"/>
        <v>LOSS</v>
      </c>
      <c r="Q157" s="1">
        <f t="shared" si="5"/>
        <v>-1</v>
      </c>
    </row>
    <row r="158" ht="15.75" customHeight="1">
      <c r="A158" s="1">
        <v>32.0</v>
      </c>
      <c r="B158" s="18" t="s">
        <v>320</v>
      </c>
      <c r="C158" s="10" t="s">
        <v>32</v>
      </c>
      <c r="D158" s="19">
        <v>45045.0</v>
      </c>
      <c r="E158" s="22">
        <v>0.875</v>
      </c>
      <c r="F158" s="23" t="s">
        <v>24</v>
      </c>
      <c r="G158" s="13" t="s">
        <v>30</v>
      </c>
      <c r="H158" s="1" t="s">
        <v>111</v>
      </c>
      <c r="I158" s="24" t="s">
        <v>59</v>
      </c>
      <c r="J158" s="25">
        <v>88530.0</v>
      </c>
      <c r="K158" s="26">
        <v>0.16666666666666666</v>
      </c>
      <c r="L158" s="17" t="s">
        <v>268</v>
      </c>
      <c r="M158" s="1">
        <f t="shared" si="10"/>
        <v>4</v>
      </c>
      <c r="N158" s="1">
        <f t="shared" si="11"/>
        <v>0</v>
      </c>
      <c r="O158" s="1" t="str">
        <f t="shared" si="3"/>
        <v>40</v>
      </c>
      <c r="P158" s="1" t="str">
        <f t="shared" si="4"/>
        <v>WIN</v>
      </c>
      <c r="Q158" s="1">
        <f t="shared" si="5"/>
        <v>1</v>
      </c>
    </row>
    <row r="159" ht="15.75" customHeight="1">
      <c r="A159" s="1">
        <v>33.0</v>
      </c>
      <c r="B159" s="18" t="s">
        <v>321</v>
      </c>
      <c r="C159" s="10" t="s">
        <v>26</v>
      </c>
      <c r="D159" s="19">
        <v>45048.0</v>
      </c>
      <c r="E159" s="22">
        <v>0.8125</v>
      </c>
      <c r="F159" s="23" t="s">
        <v>24</v>
      </c>
      <c r="G159" s="13" t="s">
        <v>30</v>
      </c>
      <c r="H159" s="1" t="s">
        <v>322</v>
      </c>
      <c r="I159" s="24" t="s">
        <v>21</v>
      </c>
      <c r="J159" s="25">
        <v>76061.0</v>
      </c>
      <c r="K159" s="26">
        <v>0.041666666666666664</v>
      </c>
      <c r="L159" s="17" t="s">
        <v>268</v>
      </c>
      <c r="M159" s="1">
        <f t="shared" si="10"/>
        <v>1</v>
      </c>
      <c r="N159" s="1">
        <f t="shared" si="11"/>
        <v>0</v>
      </c>
      <c r="O159" s="1" t="str">
        <f t="shared" si="3"/>
        <v>10</v>
      </c>
      <c r="P159" s="1" t="str">
        <f t="shared" si="4"/>
        <v>WIN</v>
      </c>
      <c r="Q159" s="1">
        <f t="shared" si="5"/>
        <v>1</v>
      </c>
    </row>
    <row r="160" ht="15.75" customHeight="1">
      <c r="A160" s="1">
        <v>34.0</v>
      </c>
      <c r="B160" s="18" t="s">
        <v>323</v>
      </c>
      <c r="C160" s="10" t="s">
        <v>29</v>
      </c>
      <c r="D160" s="19">
        <v>45060.0</v>
      </c>
      <c r="E160" s="22">
        <v>0.875</v>
      </c>
      <c r="F160" s="23" t="s">
        <v>19</v>
      </c>
      <c r="G160" s="13" t="s">
        <v>30</v>
      </c>
      <c r="H160" s="1" t="s">
        <v>324</v>
      </c>
      <c r="I160" s="24" t="s">
        <v>59</v>
      </c>
      <c r="J160" s="25">
        <v>27360.0</v>
      </c>
      <c r="K160" s="26">
        <v>0.08611111111111111</v>
      </c>
      <c r="L160" s="17" t="s">
        <v>268</v>
      </c>
      <c r="M160" s="1">
        <f t="shared" si="10"/>
        <v>2</v>
      </c>
      <c r="N160" s="1">
        <f t="shared" si="11"/>
        <v>4</v>
      </c>
      <c r="O160" s="1" t="str">
        <f t="shared" si="3"/>
        <v>24</v>
      </c>
      <c r="P160" s="1" t="str">
        <f t="shared" si="4"/>
        <v>WIN</v>
      </c>
      <c r="Q160" s="1">
        <f t="shared" si="5"/>
        <v>1</v>
      </c>
    </row>
    <row r="161" ht="15.75" customHeight="1">
      <c r="A161" s="1">
        <v>35.0</v>
      </c>
      <c r="B161" s="18" t="s">
        <v>325</v>
      </c>
      <c r="C161" s="10" t="s">
        <v>32</v>
      </c>
      <c r="D161" s="19">
        <v>45066.0</v>
      </c>
      <c r="E161" s="22">
        <v>0.875</v>
      </c>
      <c r="F161" s="23" t="s">
        <v>24</v>
      </c>
      <c r="G161" s="13" t="s">
        <v>30</v>
      </c>
      <c r="H161" s="1" t="s">
        <v>326</v>
      </c>
      <c r="I161" s="24" t="s">
        <v>59</v>
      </c>
      <c r="J161" s="25">
        <v>88049.0</v>
      </c>
      <c r="K161" s="26">
        <v>0.043055555555555555</v>
      </c>
      <c r="L161" s="17" t="s">
        <v>268</v>
      </c>
      <c r="M161" s="1">
        <f t="shared" si="10"/>
        <v>1</v>
      </c>
      <c r="N161" s="1">
        <f t="shared" si="11"/>
        <v>2</v>
      </c>
      <c r="O161" s="1" t="str">
        <f t="shared" si="3"/>
        <v>12</v>
      </c>
      <c r="P161" s="1" t="str">
        <f t="shared" si="4"/>
        <v>LOSS</v>
      </c>
      <c r="Q161" s="1">
        <f t="shared" si="5"/>
        <v>-1</v>
      </c>
    </row>
    <row r="162" ht="15.75" customHeight="1">
      <c r="A162" s="1">
        <v>36.0</v>
      </c>
      <c r="B162" s="18" t="s">
        <v>327</v>
      </c>
      <c r="C162" s="10" t="s">
        <v>26</v>
      </c>
      <c r="D162" s="19">
        <v>45069.0</v>
      </c>
      <c r="E162" s="22">
        <v>0.9166666666666666</v>
      </c>
      <c r="F162" s="23" t="s">
        <v>19</v>
      </c>
      <c r="G162" s="13" t="s">
        <v>30</v>
      </c>
      <c r="H162" s="1" t="s">
        <v>273</v>
      </c>
      <c r="I162" s="24" t="s">
        <v>59</v>
      </c>
      <c r="J162" s="25">
        <v>22341.0</v>
      </c>
      <c r="K162" s="26">
        <v>0.12569444444444444</v>
      </c>
      <c r="L162" s="17" t="s">
        <v>268</v>
      </c>
      <c r="M162" s="1">
        <f t="shared" si="10"/>
        <v>3</v>
      </c>
      <c r="N162" s="1">
        <f t="shared" si="11"/>
        <v>1</v>
      </c>
      <c r="O162" s="1" t="str">
        <f t="shared" si="3"/>
        <v>31</v>
      </c>
      <c r="P162" s="1" t="str">
        <f t="shared" si="4"/>
        <v>LOSS</v>
      </c>
      <c r="Q162" s="1">
        <f t="shared" si="5"/>
        <v>-1</v>
      </c>
    </row>
    <row r="163" ht="15.75" customHeight="1">
      <c r="A163" s="37">
        <v>37.0</v>
      </c>
      <c r="B163" s="18" t="s">
        <v>328</v>
      </c>
      <c r="C163" s="10" t="s">
        <v>29</v>
      </c>
      <c r="D163" s="19">
        <v>45074.0</v>
      </c>
      <c r="E163" s="38">
        <v>0.7916666666666666</v>
      </c>
      <c r="F163" s="39" t="s">
        <v>24</v>
      </c>
      <c r="G163" s="40" t="s">
        <v>30</v>
      </c>
      <c r="H163" s="37" t="s">
        <v>329</v>
      </c>
      <c r="I163" s="41" t="s">
        <v>59</v>
      </c>
      <c r="J163" s="42">
        <v>88775.0</v>
      </c>
      <c r="K163" s="43">
        <v>0.125</v>
      </c>
      <c r="L163" s="44" t="s">
        <v>268</v>
      </c>
      <c r="M163" s="37">
        <f t="shared" si="10"/>
        <v>3</v>
      </c>
      <c r="N163" s="37">
        <f t="shared" si="11"/>
        <v>0</v>
      </c>
      <c r="O163" s="1" t="str">
        <f t="shared" si="3"/>
        <v>30</v>
      </c>
      <c r="P163" s="37" t="str">
        <f t="shared" si="4"/>
        <v>WIN</v>
      </c>
      <c r="Q163" s="37">
        <f t="shared" si="5"/>
        <v>1</v>
      </c>
      <c r="R163" s="37"/>
      <c r="S163" s="37"/>
      <c r="T163" s="37"/>
      <c r="U163" s="37"/>
      <c r="V163" s="37"/>
      <c r="W163" s="37"/>
      <c r="X163" s="37"/>
      <c r="Y163" s="37"/>
      <c r="Z163" s="37"/>
      <c r="AA163" s="37"/>
    </row>
    <row r="164" ht="15.75" customHeight="1">
      <c r="A164" s="1">
        <v>38.0</v>
      </c>
      <c r="B164" s="18" t="s">
        <v>330</v>
      </c>
      <c r="C164" s="10" t="s">
        <v>29</v>
      </c>
      <c r="D164" s="19">
        <v>45081.0</v>
      </c>
      <c r="E164" s="22">
        <v>0.875</v>
      </c>
      <c r="F164" s="23" t="s">
        <v>19</v>
      </c>
      <c r="G164" s="13" t="s">
        <v>30</v>
      </c>
      <c r="H164" s="1" t="s">
        <v>187</v>
      </c>
      <c r="I164" s="24" t="s">
        <v>59</v>
      </c>
      <c r="J164" s="25">
        <v>23365.0</v>
      </c>
      <c r="K164" s="26">
        <v>0.08402777777777778</v>
      </c>
      <c r="L164" s="17" t="s">
        <v>268</v>
      </c>
      <c r="M164" s="1">
        <f t="shared" si="10"/>
        <v>2</v>
      </c>
      <c r="N164" s="1">
        <f t="shared" si="11"/>
        <v>1</v>
      </c>
      <c r="O164" s="1" t="str">
        <f t="shared" si="3"/>
        <v>21</v>
      </c>
      <c r="P164" s="1" t="str">
        <f t="shared" si="4"/>
        <v>LOSS</v>
      </c>
      <c r="Q164" s="1">
        <f t="shared" si="5"/>
        <v>-1</v>
      </c>
    </row>
    <row r="165" ht="15.75" customHeight="1">
      <c r="A165" s="24" t="s">
        <v>331</v>
      </c>
      <c r="B165" s="18" t="s">
        <v>332</v>
      </c>
      <c r="C165" s="10" t="s">
        <v>23</v>
      </c>
      <c r="D165" s="19">
        <v>44811.0</v>
      </c>
      <c r="E165" s="22">
        <v>0.875</v>
      </c>
      <c r="F165" s="23" t="s">
        <v>24</v>
      </c>
      <c r="G165" s="13"/>
      <c r="H165" s="1" t="s">
        <v>333</v>
      </c>
      <c r="I165" s="24" t="s">
        <v>59</v>
      </c>
      <c r="J165" s="25">
        <v>77411.0</v>
      </c>
      <c r="K165" s="26">
        <v>0.20902777777777778</v>
      </c>
      <c r="L165" s="17" t="s">
        <v>268</v>
      </c>
      <c r="M165" s="1">
        <f t="shared" si="10"/>
        <v>5</v>
      </c>
      <c r="N165" s="1">
        <f t="shared" si="11"/>
        <v>1</v>
      </c>
      <c r="O165" s="1" t="str">
        <f t="shared" si="3"/>
        <v>51</v>
      </c>
      <c r="P165" s="1" t="str">
        <f t="shared" si="4"/>
        <v>WIN</v>
      </c>
      <c r="Q165" s="1">
        <f t="shared" si="5"/>
        <v>1</v>
      </c>
    </row>
    <row r="166" ht="15.75" customHeight="1">
      <c r="A166" s="24" t="s">
        <v>331</v>
      </c>
      <c r="B166" s="18" t="s">
        <v>334</v>
      </c>
      <c r="C166" s="10" t="s">
        <v>26</v>
      </c>
      <c r="D166" s="19">
        <v>44817.0</v>
      </c>
      <c r="E166" s="22">
        <v>0.875</v>
      </c>
      <c r="F166" s="23" t="s">
        <v>19</v>
      </c>
      <c r="G166" s="13"/>
      <c r="H166" s="1" t="s">
        <v>132</v>
      </c>
      <c r="I166" s="24" t="s">
        <v>59</v>
      </c>
      <c r="J166" s="27">
        <v>75000.0</v>
      </c>
      <c r="K166" s="26">
        <v>0.08333333333333333</v>
      </c>
      <c r="L166" s="17" t="s">
        <v>268</v>
      </c>
      <c r="M166" s="1">
        <f t="shared" si="10"/>
        <v>2</v>
      </c>
      <c r="N166" s="1">
        <f t="shared" si="11"/>
        <v>0</v>
      </c>
      <c r="O166" s="1" t="str">
        <f t="shared" si="3"/>
        <v>20</v>
      </c>
      <c r="P166" s="1" t="str">
        <f t="shared" si="4"/>
        <v>LOSS</v>
      </c>
      <c r="Q166" s="1">
        <f t="shared" si="5"/>
        <v>-1</v>
      </c>
    </row>
    <row r="167" ht="15.75" customHeight="1">
      <c r="A167" s="24" t="s">
        <v>331</v>
      </c>
      <c r="B167" s="18" t="s">
        <v>335</v>
      </c>
      <c r="C167" s="10" t="s">
        <v>26</v>
      </c>
      <c r="D167" s="19">
        <v>44838.0</v>
      </c>
      <c r="E167" s="22">
        <v>0.875</v>
      </c>
      <c r="F167" s="23" t="s">
        <v>19</v>
      </c>
      <c r="G167" s="13"/>
      <c r="H167" s="1" t="s">
        <v>153</v>
      </c>
      <c r="I167" s="24" t="s">
        <v>59</v>
      </c>
      <c r="J167" s="25">
        <v>71368.0</v>
      </c>
      <c r="K167" s="26">
        <v>0.041666666666666664</v>
      </c>
      <c r="L167" s="17" t="s">
        <v>268</v>
      </c>
      <c r="M167" s="1">
        <f t="shared" si="10"/>
        <v>1</v>
      </c>
      <c r="N167" s="1">
        <f t="shared" si="11"/>
        <v>0</v>
      </c>
      <c r="O167" s="1" t="str">
        <f t="shared" si="3"/>
        <v>10</v>
      </c>
      <c r="P167" s="1" t="str">
        <f t="shared" si="4"/>
        <v>LOSS</v>
      </c>
      <c r="Q167" s="1">
        <f t="shared" si="5"/>
        <v>-1</v>
      </c>
    </row>
    <row r="168" ht="15.75" customHeight="1">
      <c r="A168" s="24" t="s">
        <v>331</v>
      </c>
      <c r="B168" s="18" t="s">
        <v>336</v>
      </c>
      <c r="C168" s="10" t="s">
        <v>23</v>
      </c>
      <c r="D168" s="21">
        <v>44846.0</v>
      </c>
      <c r="E168" s="22">
        <v>0.875</v>
      </c>
      <c r="F168" s="23" t="s">
        <v>24</v>
      </c>
      <c r="G168" s="13"/>
      <c r="H168" s="1" t="s">
        <v>153</v>
      </c>
      <c r="I168" s="24" t="s">
        <v>59</v>
      </c>
      <c r="J168" s="25">
        <v>92302.0</v>
      </c>
      <c r="K168" s="26">
        <v>0.12708333333333333</v>
      </c>
      <c r="L168" s="17" t="s">
        <v>268</v>
      </c>
      <c r="M168" s="1">
        <f t="shared" si="10"/>
        <v>3</v>
      </c>
      <c r="N168" s="1">
        <f t="shared" si="11"/>
        <v>3</v>
      </c>
      <c r="O168" s="1" t="str">
        <f t="shared" si="3"/>
        <v>33</v>
      </c>
      <c r="P168" s="1" t="str">
        <f t="shared" si="4"/>
        <v>DRAW</v>
      </c>
      <c r="Q168" s="1">
        <f t="shared" si="5"/>
        <v>0</v>
      </c>
    </row>
    <row r="169" ht="15.75" customHeight="1">
      <c r="A169" s="24" t="s">
        <v>331</v>
      </c>
      <c r="B169" s="18" t="s">
        <v>337</v>
      </c>
      <c r="C169" s="10" t="s">
        <v>23</v>
      </c>
      <c r="D169" s="21">
        <v>44860.0</v>
      </c>
      <c r="E169" s="22">
        <v>0.875</v>
      </c>
      <c r="F169" s="23" t="s">
        <v>24</v>
      </c>
      <c r="G169" s="13"/>
      <c r="H169" s="1" t="s">
        <v>132</v>
      </c>
      <c r="I169" s="24" t="s">
        <v>59</v>
      </c>
      <c r="J169" s="25">
        <v>84016.0</v>
      </c>
      <c r="K169" s="26">
        <v>0.0020833333333333333</v>
      </c>
      <c r="L169" s="17" t="s">
        <v>268</v>
      </c>
      <c r="M169" s="1">
        <f t="shared" si="10"/>
        <v>0</v>
      </c>
      <c r="N169" s="1">
        <f t="shared" si="11"/>
        <v>3</v>
      </c>
      <c r="O169" s="1" t="str">
        <f t="shared" si="3"/>
        <v>03</v>
      </c>
      <c r="P169" s="1" t="str">
        <f t="shared" si="4"/>
        <v>LOSS</v>
      </c>
      <c r="Q169" s="1">
        <f t="shared" si="5"/>
        <v>-1</v>
      </c>
    </row>
    <row r="170" ht="15.75" customHeight="1">
      <c r="A170" s="24" t="s">
        <v>331</v>
      </c>
      <c r="B170" s="18" t="s">
        <v>338</v>
      </c>
      <c r="C170" s="10" t="s">
        <v>26</v>
      </c>
      <c r="D170" s="19">
        <v>44866.0</v>
      </c>
      <c r="E170" s="22">
        <v>0.875</v>
      </c>
      <c r="F170" s="23" t="s">
        <v>19</v>
      </c>
      <c r="G170" s="13"/>
      <c r="H170" s="1" t="s">
        <v>333</v>
      </c>
      <c r="I170" s="24" t="s">
        <v>59</v>
      </c>
      <c r="J170" s="25">
        <v>11258.0</v>
      </c>
      <c r="K170" s="26">
        <v>0.08611111111111111</v>
      </c>
      <c r="L170" s="17" t="s">
        <v>268</v>
      </c>
      <c r="M170" s="1">
        <f t="shared" si="10"/>
        <v>2</v>
      </c>
      <c r="N170" s="1">
        <f t="shared" si="11"/>
        <v>4</v>
      </c>
      <c r="O170" s="1" t="str">
        <f t="shared" si="3"/>
        <v>24</v>
      </c>
      <c r="P170" s="1" t="str">
        <f t="shared" si="4"/>
        <v>WIN</v>
      </c>
      <c r="Q170" s="1">
        <f t="shared" si="5"/>
        <v>1</v>
      </c>
    </row>
    <row r="171" ht="15.75" customHeight="1">
      <c r="A171" s="24" t="s">
        <v>339</v>
      </c>
      <c r="B171" s="18" t="s">
        <v>340</v>
      </c>
      <c r="C171" s="10" t="s">
        <v>18</v>
      </c>
      <c r="D171" s="19">
        <v>44973.0</v>
      </c>
      <c r="E171" s="22">
        <v>0.78125</v>
      </c>
      <c r="F171" s="23" t="s">
        <v>24</v>
      </c>
      <c r="G171" s="13"/>
      <c r="H171" s="1" t="s">
        <v>341</v>
      </c>
      <c r="I171" s="24" t="s">
        <v>59</v>
      </c>
      <c r="J171" s="25">
        <v>90225.0</v>
      </c>
      <c r="K171" s="26">
        <v>0.08472222222222223</v>
      </c>
      <c r="L171" s="17" t="s">
        <v>268</v>
      </c>
      <c r="M171" s="1">
        <f t="shared" si="10"/>
        <v>2</v>
      </c>
      <c r="N171" s="1">
        <f t="shared" si="11"/>
        <v>2</v>
      </c>
      <c r="O171" s="1" t="str">
        <f t="shared" si="3"/>
        <v>22</v>
      </c>
      <c r="P171" s="1" t="str">
        <f t="shared" si="4"/>
        <v>DRAW</v>
      </c>
      <c r="Q171" s="1">
        <f t="shared" si="5"/>
        <v>0</v>
      </c>
    </row>
    <row r="172" ht="15.75" customHeight="1">
      <c r="A172" s="24" t="s">
        <v>342</v>
      </c>
      <c r="B172" s="18" t="s">
        <v>343</v>
      </c>
      <c r="C172" s="10" t="s">
        <v>18</v>
      </c>
      <c r="D172" s="19">
        <v>44980.0</v>
      </c>
      <c r="E172" s="22">
        <v>0.875</v>
      </c>
      <c r="F172" s="23" t="s">
        <v>19</v>
      </c>
      <c r="G172" s="13"/>
      <c r="H172" s="1" t="s">
        <v>341</v>
      </c>
      <c r="I172" s="24" t="s">
        <v>59</v>
      </c>
      <c r="J172" s="25">
        <v>73021.0</v>
      </c>
      <c r="K172" s="26">
        <v>0.08402777777777778</v>
      </c>
      <c r="L172" s="17" t="s">
        <v>268</v>
      </c>
      <c r="M172" s="1">
        <f t="shared" si="10"/>
        <v>2</v>
      </c>
      <c r="N172" s="1">
        <f t="shared" si="11"/>
        <v>1</v>
      </c>
      <c r="O172" s="1" t="str">
        <f t="shared" si="3"/>
        <v>21</v>
      </c>
      <c r="P172" s="1" t="str">
        <f t="shared" si="4"/>
        <v>LOSS</v>
      </c>
      <c r="Q172" s="1">
        <f t="shared" si="5"/>
        <v>-1</v>
      </c>
    </row>
    <row r="173" ht="15.75" customHeight="1">
      <c r="A173" s="24" t="s">
        <v>157</v>
      </c>
      <c r="B173" s="18" t="s">
        <v>344</v>
      </c>
      <c r="C173" s="10" t="s">
        <v>23</v>
      </c>
      <c r="D173" s="19">
        <v>44930.0</v>
      </c>
      <c r="E173" s="22">
        <v>0.875</v>
      </c>
      <c r="F173" s="23" t="s">
        <v>19</v>
      </c>
      <c r="G173" s="13"/>
      <c r="H173" s="1" t="s">
        <v>345</v>
      </c>
      <c r="I173" s="24" t="s">
        <v>59</v>
      </c>
      <c r="J173" s="25">
        <v>28000.0</v>
      </c>
      <c r="K173" s="28" t="s">
        <v>346</v>
      </c>
      <c r="L173" s="17" t="s">
        <v>268</v>
      </c>
      <c r="M173" s="6">
        <v>3.0</v>
      </c>
      <c r="N173" s="6">
        <v>4.0</v>
      </c>
      <c r="O173" s="1" t="str">
        <f t="shared" si="3"/>
        <v>34</v>
      </c>
      <c r="P173" s="1" t="str">
        <f t="shared" si="4"/>
        <v>WIN</v>
      </c>
      <c r="Q173" s="1">
        <f t="shared" si="5"/>
        <v>1</v>
      </c>
    </row>
    <row r="174" ht="15.75" customHeight="1">
      <c r="A174" s="24" t="s">
        <v>160</v>
      </c>
      <c r="B174" s="18" t="s">
        <v>347</v>
      </c>
      <c r="C174" s="10" t="s">
        <v>18</v>
      </c>
      <c r="D174" s="19">
        <v>44945.0</v>
      </c>
      <c r="E174" s="22">
        <v>0.8333333333333334</v>
      </c>
      <c r="F174" s="23" t="s">
        <v>19</v>
      </c>
      <c r="G174" s="13"/>
      <c r="H174" s="1" t="s">
        <v>348</v>
      </c>
      <c r="I174" s="24" t="s">
        <v>59</v>
      </c>
      <c r="J174" s="27">
        <v>6500.0</v>
      </c>
      <c r="K174" s="26">
        <v>0.003472222222222222</v>
      </c>
      <c r="L174" s="17" t="s">
        <v>268</v>
      </c>
      <c r="M174" s="1">
        <f t="shared" ref="M174:M228" si="12">+HOUR(K174)</f>
        <v>0</v>
      </c>
      <c r="N174" s="1">
        <f t="shared" ref="N174:N228" si="13">+MINUTE(K174)</f>
        <v>5</v>
      </c>
      <c r="O174" s="1" t="str">
        <f t="shared" si="3"/>
        <v>05</v>
      </c>
      <c r="P174" s="1" t="str">
        <f t="shared" si="4"/>
        <v>WIN</v>
      </c>
      <c r="Q174" s="1">
        <f t="shared" si="5"/>
        <v>1</v>
      </c>
    </row>
    <row r="175" ht="15.75" customHeight="1">
      <c r="A175" s="24" t="s">
        <v>163</v>
      </c>
      <c r="B175" s="18" t="s">
        <v>349</v>
      </c>
      <c r="C175" s="10" t="s">
        <v>23</v>
      </c>
      <c r="D175" s="19">
        <v>44951.0</v>
      </c>
      <c r="E175" s="22">
        <v>0.875</v>
      </c>
      <c r="F175" s="23" t="s">
        <v>24</v>
      </c>
      <c r="G175" s="13"/>
      <c r="H175" s="1" t="s">
        <v>350</v>
      </c>
      <c r="I175" s="24" t="s">
        <v>59</v>
      </c>
      <c r="J175" s="25">
        <v>59610.0</v>
      </c>
      <c r="K175" s="26">
        <v>0.041666666666666664</v>
      </c>
      <c r="L175" s="17" t="s">
        <v>268</v>
      </c>
      <c r="M175" s="1">
        <f t="shared" si="12"/>
        <v>1</v>
      </c>
      <c r="N175" s="1">
        <f t="shared" si="13"/>
        <v>0</v>
      </c>
      <c r="O175" s="1" t="str">
        <f t="shared" si="3"/>
        <v>10</v>
      </c>
      <c r="P175" s="1" t="str">
        <f t="shared" si="4"/>
        <v>WIN</v>
      </c>
      <c r="Q175" s="1">
        <f t="shared" si="5"/>
        <v>1</v>
      </c>
    </row>
    <row r="176" ht="15.75" customHeight="1">
      <c r="A176" s="24" t="s">
        <v>151</v>
      </c>
      <c r="B176" s="18" t="s">
        <v>351</v>
      </c>
      <c r="C176" s="10" t="s">
        <v>18</v>
      </c>
      <c r="D176" s="19">
        <v>44987.0</v>
      </c>
      <c r="E176" s="22">
        <v>0.875</v>
      </c>
      <c r="F176" s="23" t="s">
        <v>19</v>
      </c>
      <c r="G176" s="13"/>
      <c r="H176" s="1" t="s">
        <v>171</v>
      </c>
      <c r="I176" s="24" t="s">
        <v>59</v>
      </c>
      <c r="J176" s="25">
        <v>63000.0</v>
      </c>
      <c r="K176" s="26">
        <v>6.944444444444445E-4</v>
      </c>
      <c r="L176" s="17" t="s">
        <v>268</v>
      </c>
      <c r="M176" s="1">
        <f t="shared" si="12"/>
        <v>0</v>
      </c>
      <c r="N176" s="1">
        <f t="shared" si="13"/>
        <v>1</v>
      </c>
      <c r="O176" s="1" t="str">
        <f t="shared" si="3"/>
        <v>01</v>
      </c>
      <c r="P176" s="1" t="str">
        <f t="shared" si="4"/>
        <v>WIN</v>
      </c>
      <c r="Q176" s="1">
        <f t="shared" si="5"/>
        <v>1</v>
      </c>
    </row>
    <row r="177" ht="15.75" customHeight="1">
      <c r="A177" s="24" t="s">
        <v>154</v>
      </c>
      <c r="B177" s="18" t="s">
        <v>352</v>
      </c>
      <c r="C177" s="10" t="s">
        <v>23</v>
      </c>
      <c r="D177" s="19">
        <v>45021.0</v>
      </c>
      <c r="E177" s="22">
        <v>0.9166666666666666</v>
      </c>
      <c r="F177" s="23" t="s">
        <v>24</v>
      </c>
      <c r="G177" s="13"/>
      <c r="H177" s="1" t="s">
        <v>171</v>
      </c>
      <c r="I177" s="24" t="s">
        <v>59</v>
      </c>
      <c r="J177" s="25">
        <v>94902.0</v>
      </c>
      <c r="K177" s="26">
        <v>0.002777777777777778</v>
      </c>
      <c r="L177" s="17" t="s">
        <v>268</v>
      </c>
      <c r="M177" s="1">
        <f t="shared" si="12"/>
        <v>0</v>
      </c>
      <c r="N177" s="1">
        <f t="shared" si="13"/>
        <v>4</v>
      </c>
      <c r="O177" s="1" t="str">
        <f t="shared" si="3"/>
        <v>04</v>
      </c>
      <c r="P177" s="1" t="str">
        <f t="shared" si="4"/>
        <v>LOSS</v>
      </c>
      <c r="Q177" s="1">
        <f t="shared" si="5"/>
        <v>-1</v>
      </c>
    </row>
    <row r="178" ht="15.75" customHeight="1">
      <c r="A178" s="1">
        <v>1.0</v>
      </c>
      <c r="B178" s="18" t="s">
        <v>353</v>
      </c>
      <c r="C178" s="10" t="s">
        <v>29</v>
      </c>
      <c r="D178" s="19">
        <v>44423.0</v>
      </c>
      <c r="E178" s="22">
        <v>0.8333333333333334</v>
      </c>
      <c r="F178" s="23" t="s">
        <v>24</v>
      </c>
      <c r="G178" s="13" t="s">
        <v>33</v>
      </c>
      <c r="H178" s="1" t="s">
        <v>239</v>
      </c>
      <c r="I178" s="24" t="s">
        <v>59</v>
      </c>
      <c r="J178" s="25">
        <v>20384.0</v>
      </c>
      <c r="K178" s="26">
        <v>0.16805555555555557</v>
      </c>
      <c r="L178" s="17" t="s">
        <v>354</v>
      </c>
      <c r="M178" s="1">
        <f t="shared" si="12"/>
        <v>4</v>
      </c>
      <c r="N178" s="1">
        <f t="shared" si="13"/>
        <v>2</v>
      </c>
      <c r="O178" s="1" t="str">
        <f t="shared" si="3"/>
        <v>42</v>
      </c>
      <c r="P178" s="1" t="str">
        <f t="shared" si="4"/>
        <v>WIN</v>
      </c>
      <c r="Q178" s="1">
        <f t="shared" si="5"/>
        <v>1</v>
      </c>
    </row>
    <row r="179" ht="15.75" customHeight="1">
      <c r="A179" s="1">
        <v>2.0</v>
      </c>
      <c r="B179" s="18" t="s">
        <v>355</v>
      </c>
      <c r="C179" s="10" t="s">
        <v>32</v>
      </c>
      <c r="D179" s="19">
        <v>44429.0</v>
      </c>
      <c r="E179" s="22">
        <v>0.9166666666666666</v>
      </c>
      <c r="F179" s="23" t="s">
        <v>19</v>
      </c>
      <c r="G179" s="13" t="s">
        <v>87</v>
      </c>
      <c r="H179" s="1" t="s">
        <v>356</v>
      </c>
      <c r="I179" s="24" t="s">
        <v>59</v>
      </c>
      <c r="J179" s="25">
        <v>9394.0</v>
      </c>
      <c r="K179" s="26">
        <v>0.04236111111111111</v>
      </c>
      <c r="L179" s="17" t="s">
        <v>354</v>
      </c>
      <c r="M179" s="1">
        <f t="shared" si="12"/>
        <v>1</v>
      </c>
      <c r="N179" s="1">
        <f t="shared" si="13"/>
        <v>1</v>
      </c>
      <c r="O179" s="1" t="str">
        <f t="shared" si="3"/>
        <v>11</v>
      </c>
      <c r="P179" s="1" t="str">
        <f t="shared" si="4"/>
        <v>DRAW</v>
      </c>
      <c r="Q179" s="1">
        <f t="shared" si="5"/>
        <v>0</v>
      </c>
    </row>
    <row r="180" ht="15.75" customHeight="1">
      <c r="A180" s="1">
        <v>3.0</v>
      </c>
      <c r="B180" s="18" t="s">
        <v>357</v>
      </c>
      <c r="C180" s="10" t="s">
        <v>29</v>
      </c>
      <c r="D180" s="19">
        <v>44437.0</v>
      </c>
      <c r="E180" s="22">
        <v>0.7083333333333334</v>
      </c>
      <c r="F180" s="23" t="s">
        <v>24</v>
      </c>
      <c r="G180" s="13" t="s">
        <v>43</v>
      </c>
      <c r="H180" s="1" t="s">
        <v>65</v>
      </c>
      <c r="I180" s="24" t="s">
        <v>59</v>
      </c>
      <c r="J180" s="25">
        <v>26543.0</v>
      </c>
      <c r="K180" s="26">
        <v>0.08402777777777778</v>
      </c>
      <c r="L180" s="17" t="s">
        <v>354</v>
      </c>
      <c r="M180" s="1">
        <f t="shared" si="12"/>
        <v>2</v>
      </c>
      <c r="N180" s="1">
        <f t="shared" si="13"/>
        <v>1</v>
      </c>
      <c r="O180" s="1" t="str">
        <f t="shared" si="3"/>
        <v>21</v>
      </c>
      <c r="P180" s="1" t="str">
        <f t="shared" si="4"/>
        <v>WIN</v>
      </c>
      <c r="Q180" s="1">
        <f t="shared" si="5"/>
        <v>1</v>
      </c>
    </row>
    <row r="181" ht="15.75" customHeight="1">
      <c r="A181" s="1">
        <v>4.0</v>
      </c>
      <c r="B181" s="18" t="s">
        <v>358</v>
      </c>
      <c r="C181" s="10" t="s">
        <v>26</v>
      </c>
      <c r="D181" s="21">
        <v>44551.0</v>
      </c>
      <c r="E181" s="22">
        <v>0.8958333333333334</v>
      </c>
      <c r="F181" s="23" t="s">
        <v>19</v>
      </c>
      <c r="G181" s="13" t="s">
        <v>43</v>
      </c>
      <c r="H181" s="1" t="s">
        <v>359</v>
      </c>
      <c r="I181" s="24" t="s">
        <v>59</v>
      </c>
      <c r="J181" s="25">
        <v>31358.0</v>
      </c>
      <c r="K181" s="26">
        <v>0.04236111111111111</v>
      </c>
      <c r="L181" s="17" t="s">
        <v>354</v>
      </c>
      <c r="M181" s="1">
        <f t="shared" si="12"/>
        <v>1</v>
      </c>
      <c r="N181" s="1">
        <f t="shared" si="13"/>
        <v>1</v>
      </c>
      <c r="O181" s="1" t="str">
        <f t="shared" si="3"/>
        <v>11</v>
      </c>
      <c r="P181" s="1" t="str">
        <f t="shared" si="4"/>
        <v>DRAW</v>
      </c>
      <c r="Q181" s="1">
        <f t="shared" si="5"/>
        <v>0</v>
      </c>
    </row>
    <row r="182" ht="15.75" customHeight="1">
      <c r="A182" s="1">
        <v>5.0</v>
      </c>
      <c r="B182" s="18" t="s">
        <v>360</v>
      </c>
      <c r="C182" s="10" t="s">
        <v>99</v>
      </c>
      <c r="D182" s="19">
        <v>44459.0</v>
      </c>
      <c r="E182" s="22">
        <v>0.875</v>
      </c>
      <c r="F182" s="23" t="s">
        <v>24</v>
      </c>
      <c r="G182" s="13" t="s">
        <v>272</v>
      </c>
      <c r="H182" s="1" t="s">
        <v>361</v>
      </c>
      <c r="I182" s="24" t="s">
        <v>59</v>
      </c>
      <c r="J182" s="25">
        <v>27097.0</v>
      </c>
      <c r="K182" s="26">
        <v>0.04236111111111111</v>
      </c>
      <c r="L182" s="17" t="s">
        <v>354</v>
      </c>
      <c r="M182" s="1">
        <f t="shared" si="12"/>
        <v>1</v>
      </c>
      <c r="N182" s="1">
        <f t="shared" si="13"/>
        <v>1</v>
      </c>
      <c r="O182" s="1" t="str">
        <f t="shared" si="3"/>
        <v>11</v>
      </c>
      <c r="P182" s="1" t="str">
        <f t="shared" si="4"/>
        <v>DRAW</v>
      </c>
      <c r="Q182" s="1">
        <f t="shared" si="5"/>
        <v>0</v>
      </c>
    </row>
    <row r="183" ht="15.75" customHeight="1">
      <c r="A183" s="1">
        <v>6.0</v>
      </c>
      <c r="B183" s="18" t="s">
        <v>362</v>
      </c>
      <c r="C183" s="10" t="s">
        <v>18</v>
      </c>
      <c r="D183" s="19">
        <v>44462.0</v>
      </c>
      <c r="E183" s="22">
        <v>0.9166666666666666</v>
      </c>
      <c r="F183" s="23" t="s">
        <v>19</v>
      </c>
      <c r="G183" s="13" t="s">
        <v>272</v>
      </c>
      <c r="H183" s="1" t="s">
        <v>363</v>
      </c>
      <c r="I183" s="24" t="s">
        <v>59</v>
      </c>
      <c r="J183" s="25">
        <v>12180.0</v>
      </c>
      <c r="K183" s="26">
        <v>0.0</v>
      </c>
      <c r="L183" s="17" t="s">
        <v>354</v>
      </c>
      <c r="M183" s="1">
        <f t="shared" si="12"/>
        <v>0</v>
      </c>
      <c r="N183" s="1">
        <f t="shared" si="13"/>
        <v>0</v>
      </c>
      <c r="O183" s="1" t="str">
        <f t="shared" si="3"/>
        <v>00</v>
      </c>
      <c r="P183" s="1" t="str">
        <f t="shared" si="4"/>
        <v>DRAW</v>
      </c>
      <c r="Q183" s="1">
        <f t="shared" si="5"/>
        <v>0</v>
      </c>
    </row>
    <row r="184" ht="15.75" customHeight="1">
      <c r="A184" s="1">
        <v>7.0</v>
      </c>
      <c r="B184" s="18" t="s">
        <v>364</v>
      </c>
      <c r="C184" s="10" t="s">
        <v>29</v>
      </c>
      <c r="D184" s="19">
        <v>44465.0</v>
      </c>
      <c r="E184" s="22">
        <v>0.6770833333333334</v>
      </c>
      <c r="F184" s="23" t="s">
        <v>24</v>
      </c>
      <c r="G184" s="13" t="s">
        <v>365</v>
      </c>
      <c r="H184" s="1" t="s">
        <v>366</v>
      </c>
      <c r="I184" s="24" t="s">
        <v>21</v>
      </c>
      <c r="J184" s="25">
        <v>35334.0</v>
      </c>
      <c r="K184" s="26">
        <v>0.125</v>
      </c>
      <c r="L184" s="17" t="s">
        <v>354</v>
      </c>
      <c r="M184" s="1">
        <f t="shared" si="12"/>
        <v>3</v>
      </c>
      <c r="N184" s="1">
        <f t="shared" si="13"/>
        <v>0</v>
      </c>
      <c r="O184" s="1" t="str">
        <f t="shared" si="3"/>
        <v>30</v>
      </c>
      <c r="P184" s="1" t="str">
        <f t="shared" si="4"/>
        <v>WIN</v>
      </c>
      <c r="Q184" s="1">
        <f t="shared" si="5"/>
        <v>1</v>
      </c>
    </row>
    <row r="185" ht="15.75" customHeight="1">
      <c r="A185" s="1">
        <v>8.0</v>
      </c>
      <c r="B185" s="18" t="s">
        <v>367</v>
      </c>
      <c r="C185" s="10" t="s">
        <v>32</v>
      </c>
      <c r="D185" s="19">
        <v>44471.0</v>
      </c>
      <c r="E185" s="22">
        <v>0.875</v>
      </c>
      <c r="F185" s="23" t="s">
        <v>19</v>
      </c>
      <c r="G185" s="13" t="s">
        <v>181</v>
      </c>
      <c r="H185" s="1" t="s">
        <v>227</v>
      </c>
      <c r="I185" s="24" t="s">
        <v>21</v>
      </c>
      <c r="J185" s="25">
        <v>60594.0</v>
      </c>
      <c r="K185" s="26">
        <v>0.08333333333333333</v>
      </c>
      <c r="L185" s="17" t="s">
        <v>354</v>
      </c>
      <c r="M185" s="1">
        <f t="shared" si="12"/>
        <v>2</v>
      </c>
      <c r="N185" s="1">
        <f t="shared" si="13"/>
        <v>0</v>
      </c>
      <c r="O185" s="1" t="str">
        <f t="shared" si="3"/>
        <v>20</v>
      </c>
      <c r="P185" s="1" t="str">
        <f t="shared" si="4"/>
        <v>LOSS</v>
      </c>
      <c r="Q185" s="1">
        <f t="shared" si="5"/>
        <v>-1</v>
      </c>
    </row>
    <row r="186" ht="15.75" customHeight="1">
      <c r="A186" s="1">
        <v>9.0</v>
      </c>
      <c r="B186" s="18" t="s">
        <v>368</v>
      </c>
      <c r="C186" s="10" t="s">
        <v>29</v>
      </c>
      <c r="D186" s="21">
        <v>44486.0</v>
      </c>
      <c r="E186" s="22">
        <v>0.875</v>
      </c>
      <c r="F186" s="23" t="s">
        <v>24</v>
      </c>
      <c r="G186" s="13" t="s">
        <v>365</v>
      </c>
      <c r="H186" s="1" t="s">
        <v>369</v>
      </c>
      <c r="I186" s="24" t="s">
        <v>370</v>
      </c>
      <c r="J186" s="25">
        <v>47317.0</v>
      </c>
      <c r="K186" s="26">
        <v>0.12569444444444444</v>
      </c>
      <c r="L186" s="17" t="s">
        <v>354</v>
      </c>
      <c r="M186" s="1">
        <f t="shared" si="12"/>
        <v>3</v>
      </c>
      <c r="N186" s="1">
        <f t="shared" si="13"/>
        <v>1</v>
      </c>
      <c r="O186" s="1" t="str">
        <f t="shared" si="3"/>
        <v>31</v>
      </c>
      <c r="P186" s="1" t="str">
        <f t="shared" si="4"/>
        <v>WIN</v>
      </c>
      <c r="Q186" s="1">
        <f t="shared" si="5"/>
        <v>1</v>
      </c>
    </row>
    <row r="187" ht="15.75" customHeight="1">
      <c r="A187" s="1">
        <v>10.0</v>
      </c>
      <c r="B187" s="18" t="s">
        <v>371</v>
      </c>
      <c r="C187" s="10" t="s">
        <v>29</v>
      </c>
      <c r="D187" s="21">
        <v>44493.0</v>
      </c>
      <c r="E187" s="22">
        <v>0.6770833333333334</v>
      </c>
      <c r="F187" s="23" t="s">
        <v>24</v>
      </c>
      <c r="G187" s="13" t="s">
        <v>181</v>
      </c>
      <c r="H187" s="1" t="s">
        <v>233</v>
      </c>
      <c r="I187" s="24" t="s">
        <v>59</v>
      </c>
      <c r="J187" s="25">
        <v>86422.0</v>
      </c>
      <c r="K187" s="26">
        <v>0.043055555555555555</v>
      </c>
      <c r="L187" s="17" t="s">
        <v>354</v>
      </c>
      <c r="M187" s="1">
        <f t="shared" si="12"/>
        <v>1</v>
      </c>
      <c r="N187" s="1">
        <f t="shared" si="13"/>
        <v>2</v>
      </c>
      <c r="O187" s="1" t="str">
        <f t="shared" si="3"/>
        <v>12</v>
      </c>
      <c r="P187" s="1" t="str">
        <f t="shared" si="4"/>
        <v>LOSS</v>
      </c>
      <c r="Q187" s="1">
        <f t="shared" si="5"/>
        <v>-1</v>
      </c>
    </row>
    <row r="188" ht="15.75" customHeight="1">
      <c r="A188" s="1">
        <v>11.0</v>
      </c>
      <c r="B188" s="18" t="s">
        <v>372</v>
      </c>
      <c r="C188" s="10" t="s">
        <v>23</v>
      </c>
      <c r="D188" s="21">
        <v>44496.0</v>
      </c>
      <c r="E188" s="22">
        <v>0.7916666666666666</v>
      </c>
      <c r="F188" s="23" t="s">
        <v>19</v>
      </c>
      <c r="G188" s="13" t="s">
        <v>365</v>
      </c>
      <c r="H188" s="1" t="s">
        <v>373</v>
      </c>
      <c r="I188" s="24" t="s">
        <v>59</v>
      </c>
      <c r="J188" s="25">
        <v>9340.0</v>
      </c>
      <c r="K188" s="26">
        <v>0.041666666666666664</v>
      </c>
      <c r="L188" s="17" t="s">
        <v>354</v>
      </c>
      <c r="M188" s="1">
        <f t="shared" si="12"/>
        <v>1</v>
      </c>
      <c r="N188" s="1">
        <f t="shared" si="13"/>
        <v>0</v>
      </c>
      <c r="O188" s="1" t="str">
        <f t="shared" si="3"/>
        <v>10</v>
      </c>
      <c r="P188" s="1" t="str">
        <f t="shared" si="4"/>
        <v>LOSS</v>
      </c>
      <c r="Q188" s="1">
        <f t="shared" si="5"/>
        <v>-1</v>
      </c>
    </row>
    <row r="189" ht="15.75" customHeight="1">
      <c r="A189" s="1">
        <v>12.0</v>
      </c>
      <c r="B189" s="18" t="s">
        <v>374</v>
      </c>
      <c r="C189" s="10" t="s">
        <v>32</v>
      </c>
      <c r="D189" s="21">
        <v>44499.0</v>
      </c>
      <c r="E189" s="22">
        <v>0.875</v>
      </c>
      <c r="F189" s="23" t="s">
        <v>24</v>
      </c>
      <c r="G189" s="13" t="s">
        <v>375</v>
      </c>
      <c r="H189" s="1" t="s">
        <v>96</v>
      </c>
      <c r="I189" s="24" t="s">
        <v>59</v>
      </c>
      <c r="J189" s="25">
        <v>37278.0</v>
      </c>
      <c r="K189" s="26">
        <v>0.04236111111111111</v>
      </c>
      <c r="L189" s="17" t="s">
        <v>354</v>
      </c>
      <c r="M189" s="1">
        <f t="shared" si="12"/>
        <v>1</v>
      </c>
      <c r="N189" s="1">
        <f t="shared" si="13"/>
        <v>1</v>
      </c>
      <c r="O189" s="1" t="str">
        <f t="shared" si="3"/>
        <v>11</v>
      </c>
      <c r="P189" s="1" t="str">
        <f t="shared" si="4"/>
        <v>DRAW</v>
      </c>
      <c r="Q189" s="1">
        <f t="shared" si="5"/>
        <v>0</v>
      </c>
    </row>
    <row r="190" ht="15.75" customHeight="1">
      <c r="A190" s="1">
        <v>13.0</v>
      </c>
      <c r="B190" s="18" t="s">
        <v>376</v>
      </c>
      <c r="C190" s="10" t="s">
        <v>32</v>
      </c>
      <c r="D190" s="19">
        <v>44506.0</v>
      </c>
      <c r="E190" s="22">
        <v>0.6770833333333334</v>
      </c>
      <c r="F190" s="23" t="s">
        <v>19</v>
      </c>
      <c r="G190" s="13" t="s">
        <v>375</v>
      </c>
      <c r="H190" s="1" t="s">
        <v>377</v>
      </c>
      <c r="I190" s="24" t="s">
        <v>59</v>
      </c>
      <c r="J190" s="25">
        <v>13146.0</v>
      </c>
      <c r="K190" s="26">
        <v>0.12708333333333333</v>
      </c>
      <c r="L190" s="17" t="s">
        <v>354</v>
      </c>
      <c r="M190" s="1">
        <f t="shared" si="12"/>
        <v>3</v>
      </c>
      <c r="N190" s="1">
        <f t="shared" si="13"/>
        <v>3</v>
      </c>
      <c r="O190" s="1" t="str">
        <f t="shared" si="3"/>
        <v>33</v>
      </c>
      <c r="P190" s="1" t="str">
        <f t="shared" si="4"/>
        <v>DRAW</v>
      </c>
      <c r="Q190" s="1">
        <f t="shared" si="5"/>
        <v>0</v>
      </c>
    </row>
    <row r="191" ht="15.75" customHeight="1">
      <c r="A191" s="1">
        <v>14.0</v>
      </c>
      <c r="B191" s="18" t="s">
        <v>378</v>
      </c>
      <c r="C191" s="10" t="s">
        <v>32</v>
      </c>
      <c r="D191" s="21">
        <v>44520.0</v>
      </c>
      <c r="E191" s="22">
        <v>0.875</v>
      </c>
      <c r="F191" s="23" t="s">
        <v>24</v>
      </c>
      <c r="G191" s="13" t="s">
        <v>375</v>
      </c>
      <c r="H191" s="1" t="s">
        <v>379</v>
      </c>
      <c r="I191" s="24" t="s">
        <v>59</v>
      </c>
      <c r="J191" s="25">
        <v>74418.0</v>
      </c>
      <c r="K191" s="26">
        <v>0.041666666666666664</v>
      </c>
      <c r="L191" s="17" t="s">
        <v>354</v>
      </c>
      <c r="M191" s="1">
        <f t="shared" si="12"/>
        <v>1</v>
      </c>
      <c r="N191" s="1">
        <f t="shared" si="13"/>
        <v>0</v>
      </c>
      <c r="O191" s="1" t="str">
        <f t="shared" si="3"/>
        <v>10</v>
      </c>
      <c r="P191" s="1" t="str">
        <f t="shared" si="4"/>
        <v>WIN</v>
      </c>
      <c r="Q191" s="1">
        <f t="shared" si="5"/>
        <v>1</v>
      </c>
    </row>
    <row r="192" ht="15.75" customHeight="1">
      <c r="A192" s="1">
        <v>15.0</v>
      </c>
      <c r="B192" s="18" t="s">
        <v>380</v>
      </c>
      <c r="C192" s="10" t="s">
        <v>32</v>
      </c>
      <c r="D192" s="21">
        <v>44527.0</v>
      </c>
      <c r="E192" s="22">
        <v>0.875</v>
      </c>
      <c r="F192" s="23" t="s">
        <v>19</v>
      </c>
      <c r="G192" s="13" t="s">
        <v>381</v>
      </c>
      <c r="H192" s="1" t="s">
        <v>382</v>
      </c>
      <c r="I192" s="24" t="s">
        <v>59</v>
      </c>
      <c r="J192" s="25">
        <v>19050.0</v>
      </c>
      <c r="K192" s="26">
        <v>0.04375</v>
      </c>
      <c r="L192" s="17" t="s">
        <v>354</v>
      </c>
      <c r="M192" s="1">
        <f t="shared" si="12"/>
        <v>1</v>
      </c>
      <c r="N192" s="1">
        <f t="shared" si="13"/>
        <v>3</v>
      </c>
      <c r="O192" s="1" t="str">
        <f t="shared" si="3"/>
        <v>13</v>
      </c>
      <c r="P192" s="1" t="str">
        <f t="shared" si="4"/>
        <v>WIN</v>
      </c>
      <c r="Q192" s="1">
        <f t="shared" si="5"/>
        <v>1</v>
      </c>
    </row>
    <row r="193" ht="15.75" customHeight="1">
      <c r="A193" s="1">
        <v>16.0</v>
      </c>
      <c r="B193" s="18" t="s">
        <v>383</v>
      </c>
      <c r="C193" s="10" t="s">
        <v>32</v>
      </c>
      <c r="D193" s="19">
        <v>44534.0</v>
      </c>
      <c r="E193" s="22">
        <v>0.6770833333333334</v>
      </c>
      <c r="F193" s="23" t="s">
        <v>24</v>
      </c>
      <c r="G193" s="13" t="s">
        <v>381</v>
      </c>
      <c r="H193" s="1" t="s">
        <v>384</v>
      </c>
      <c r="I193" s="24" t="s">
        <v>59</v>
      </c>
      <c r="J193" s="25">
        <v>66529.0</v>
      </c>
      <c r="K193" s="26">
        <v>6.944444444444445E-4</v>
      </c>
      <c r="L193" s="17" t="s">
        <v>354</v>
      </c>
      <c r="M193" s="1">
        <f t="shared" si="12"/>
        <v>0</v>
      </c>
      <c r="N193" s="1">
        <f t="shared" si="13"/>
        <v>1</v>
      </c>
      <c r="O193" s="1" t="str">
        <f t="shared" si="3"/>
        <v>01</v>
      </c>
      <c r="P193" s="1" t="str">
        <f t="shared" si="4"/>
        <v>LOSS</v>
      </c>
      <c r="Q193" s="1">
        <f t="shared" si="5"/>
        <v>-1</v>
      </c>
    </row>
    <row r="194" ht="15.75" customHeight="1">
      <c r="A194" s="1">
        <v>17.0</v>
      </c>
      <c r="B194" s="18" t="s">
        <v>385</v>
      </c>
      <c r="C194" s="10" t="s">
        <v>29</v>
      </c>
      <c r="D194" s="21">
        <v>44542.0</v>
      </c>
      <c r="E194" s="22">
        <v>0.6770833333333334</v>
      </c>
      <c r="F194" s="23" t="s">
        <v>19</v>
      </c>
      <c r="G194" s="13" t="s">
        <v>381</v>
      </c>
      <c r="H194" s="1" t="s">
        <v>386</v>
      </c>
      <c r="I194" s="45">
        <v>37714.0</v>
      </c>
      <c r="J194" s="25">
        <v>21427.0</v>
      </c>
      <c r="K194" s="26">
        <v>0.08472222222222223</v>
      </c>
      <c r="L194" s="17" t="s">
        <v>354</v>
      </c>
      <c r="M194" s="1">
        <f t="shared" si="12"/>
        <v>2</v>
      </c>
      <c r="N194" s="1">
        <f t="shared" si="13"/>
        <v>2</v>
      </c>
      <c r="O194" s="1" t="str">
        <f t="shared" si="3"/>
        <v>22</v>
      </c>
      <c r="P194" s="1" t="str">
        <f t="shared" si="4"/>
        <v>DRAW</v>
      </c>
      <c r="Q194" s="1">
        <f t="shared" si="5"/>
        <v>0</v>
      </c>
    </row>
    <row r="195" ht="15.75" customHeight="1">
      <c r="A195" s="1">
        <v>18.0</v>
      </c>
      <c r="B195" s="18" t="s">
        <v>387</v>
      </c>
      <c r="C195" s="10" t="s">
        <v>32</v>
      </c>
      <c r="D195" s="21">
        <v>44548.0</v>
      </c>
      <c r="E195" s="22">
        <v>0.7708333333333334</v>
      </c>
      <c r="F195" s="23" t="s">
        <v>24</v>
      </c>
      <c r="G195" s="13" t="s">
        <v>381</v>
      </c>
      <c r="H195" s="1" t="s">
        <v>388</v>
      </c>
      <c r="I195" s="24" t="s">
        <v>59</v>
      </c>
      <c r="J195" s="25">
        <v>41664.0</v>
      </c>
      <c r="K195" s="26">
        <v>0.12638888888888888</v>
      </c>
      <c r="L195" s="17" t="s">
        <v>354</v>
      </c>
      <c r="M195" s="1">
        <f t="shared" si="12"/>
        <v>3</v>
      </c>
      <c r="N195" s="1">
        <f t="shared" si="13"/>
        <v>2</v>
      </c>
      <c r="O195" s="1" t="str">
        <f t="shared" si="3"/>
        <v>32</v>
      </c>
      <c r="P195" s="1" t="str">
        <f t="shared" si="4"/>
        <v>WIN</v>
      </c>
      <c r="Q195" s="1">
        <f t="shared" si="5"/>
        <v>1</v>
      </c>
    </row>
    <row r="196" ht="15.75" customHeight="1">
      <c r="A196" s="1">
        <v>19.0</v>
      </c>
      <c r="B196" s="18" t="s">
        <v>389</v>
      </c>
      <c r="C196" s="10" t="s">
        <v>29</v>
      </c>
      <c r="D196" s="19">
        <v>44563.0</v>
      </c>
      <c r="E196" s="22">
        <v>0.875</v>
      </c>
      <c r="F196" s="23" t="s">
        <v>19</v>
      </c>
      <c r="G196" s="13" t="s">
        <v>381</v>
      </c>
      <c r="H196" s="1" t="s">
        <v>225</v>
      </c>
      <c r="I196" s="24" t="s">
        <v>59</v>
      </c>
      <c r="J196" s="25">
        <v>14654.0</v>
      </c>
      <c r="K196" s="26">
        <v>6.944444444444445E-4</v>
      </c>
      <c r="L196" s="17" t="s">
        <v>354</v>
      </c>
      <c r="M196" s="1">
        <f t="shared" si="12"/>
        <v>0</v>
      </c>
      <c r="N196" s="1">
        <f t="shared" si="13"/>
        <v>1</v>
      </c>
      <c r="O196" s="1" t="str">
        <f t="shared" si="3"/>
        <v>01</v>
      </c>
      <c r="P196" s="1" t="str">
        <f t="shared" si="4"/>
        <v>WIN</v>
      </c>
      <c r="Q196" s="1">
        <f t="shared" si="5"/>
        <v>1</v>
      </c>
    </row>
    <row r="197" ht="15.75" customHeight="1">
      <c r="A197" s="1">
        <v>20.0</v>
      </c>
      <c r="B197" s="18" t="s">
        <v>390</v>
      </c>
      <c r="C197" s="10" t="s">
        <v>32</v>
      </c>
      <c r="D197" s="19">
        <v>44569.0</v>
      </c>
      <c r="E197" s="22">
        <v>0.7708333333333334</v>
      </c>
      <c r="F197" s="23" t="s">
        <v>19</v>
      </c>
      <c r="G197" s="13" t="s">
        <v>272</v>
      </c>
      <c r="H197" s="1" t="s">
        <v>391</v>
      </c>
      <c r="I197" s="24" t="s">
        <v>59</v>
      </c>
      <c r="J197" s="25">
        <v>14442.0</v>
      </c>
      <c r="K197" s="26">
        <v>0.04236111111111111</v>
      </c>
      <c r="L197" s="17" t="s">
        <v>354</v>
      </c>
      <c r="M197" s="1">
        <f t="shared" si="12"/>
        <v>1</v>
      </c>
      <c r="N197" s="1">
        <f t="shared" si="13"/>
        <v>1</v>
      </c>
      <c r="O197" s="1" t="str">
        <f t="shared" si="3"/>
        <v>11</v>
      </c>
      <c r="P197" s="1" t="str">
        <f t="shared" si="4"/>
        <v>DRAW</v>
      </c>
      <c r="Q197" s="1">
        <f t="shared" si="5"/>
        <v>0</v>
      </c>
    </row>
    <row r="198" ht="15.75" customHeight="1">
      <c r="A198" s="1">
        <v>21.0</v>
      </c>
      <c r="B198" s="18" t="s">
        <v>392</v>
      </c>
      <c r="C198" s="10" t="s">
        <v>29</v>
      </c>
      <c r="D198" s="19">
        <v>44675.0</v>
      </c>
      <c r="E198" s="22">
        <v>0.875</v>
      </c>
      <c r="F198" s="23" t="s">
        <v>24</v>
      </c>
      <c r="G198" s="13" t="s">
        <v>181</v>
      </c>
      <c r="H198" s="1" t="s">
        <v>373</v>
      </c>
      <c r="I198" s="24" t="s">
        <v>59</v>
      </c>
      <c r="J198" s="25">
        <v>57023.0</v>
      </c>
      <c r="K198" s="26">
        <v>6.944444444444445E-4</v>
      </c>
      <c r="L198" s="17" t="s">
        <v>354</v>
      </c>
      <c r="M198" s="1">
        <f t="shared" si="12"/>
        <v>0</v>
      </c>
      <c r="N198" s="1">
        <f t="shared" si="13"/>
        <v>1</v>
      </c>
      <c r="O198" s="1" t="str">
        <f t="shared" si="3"/>
        <v>01</v>
      </c>
      <c r="P198" s="1" t="str">
        <f t="shared" si="4"/>
        <v>LOSS</v>
      </c>
      <c r="Q198" s="1">
        <f t="shared" si="5"/>
        <v>-1</v>
      </c>
    </row>
    <row r="199" ht="15.75" customHeight="1">
      <c r="A199" s="1">
        <v>22.0</v>
      </c>
      <c r="B199" s="18" t="s">
        <v>393</v>
      </c>
      <c r="C199" s="10" t="s">
        <v>29</v>
      </c>
      <c r="D199" s="19">
        <v>44584.0</v>
      </c>
      <c r="E199" s="22">
        <v>0.875</v>
      </c>
      <c r="F199" s="23" t="s">
        <v>19</v>
      </c>
      <c r="G199" s="13" t="s">
        <v>381</v>
      </c>
      <c r="H199" s="1" t="s">
        <v>394</v>
      </c>
      <c r="I199" s="24" t="s">
        <v>59</v>
      </c>
      <c r="J199" s="25">
        <v>14056.0</v>
      </c>
      <c r="K199" s="26">
        <v>6.944444444444445E-4</v>
      </c>
      <c r="L199" s="17" t="s">
        <v>354</v>
      </c>
      <c r="M199" s="1">
        <f t="shared" si="12"/>
        <v>0</v>
      </c>
      <c r="N199" s="1">
        <f t="shared" si="13"/>
        <v>1</v>
      </c>
      <c r="O199" s="1" t="str">
        <f t="shared" si="3"/>
        <v>01</v>
      </c>
      <c r="P199" s="1" t="str">
        <f t="shared" si="4"/>
        <v>WIN</v>
      </c>
      <c r="Q199" s="1">
        <f t="shared" si="5"/>
        <v>1</v>
      </c>
    </row>
    <row r="200" ht="15.75" customHeight="1">
      <c r="A200" s="1">
        <v>23.0</v>
      </c>
      <c r="B200" s="18" t="s">
        <v>395</v>
      </c>
      <c r="C200" s="10" t="s">
        <v>29</v>
      </c>
      <c r="D200" s="19">
        <v>44598.0</v>
      </c>
      <c r="E200" s="22">
        <v>0.6770833333333334</v>
      </c>
      <c r="F200" s="23" t="s">
        <v>24</v>
      </c>
      <c r="G200" s="13" t="s">
        <v>181</v>
      </c>
      <c r="H200" s="1" t="s">
        <v>396</v>
      </c>
      <c r="I200" s="24" t="s">
        <v>59</v>
      </c>
      <c r="J200" s="25">
        <v>74221.0</v>
      </c>
      <c r="K200" s="26">
        <v>0.16805555555555557</v>
      </c>
      <c r="L200" s="17" t="s">
        <v>354</v>
      </c>
      <c r="M200" s="1">
        <f t="shared" si="12"/>
        <v>4</v>
      </c>
      <c r="N200" s="1">
        <f t="shared" si="13"/>
        <v>2</v>
      </c>
      <c r="O200" s="1" t="str">
        <f t="shared" si="3"/>
        <v>42</v>
      </c>
      <c r="P200" s="1" t="str">
        <f t="shared" si="4"/>
        <v>WIN</v>
      </c>
      <c r="Q200" s="1">
        <f t="shared" si="5"/>
        <v>1</v>
      </c>
    </row>
    <row r="201" ht="15.75" customHeight="1">
      <c r="A201" s="1">
        <v>24.0</v>
      </c>
      <c r="B201" s="18" t="s">
        <v>397</v>
      </c>
      <c r="C201" s="10" t="s">
        <v>29</v>
      </c>
      <c r="D201" s="19">
        <v>44605.0</v>
      </c>
      <c r="E201" s="22">
        <v>0.875</v>
      </c>
      <c r="F201" s="23" t="s">
        <v>19</v>
      </c>
      <c r="G201" s="13" t="s">
        <v>43</v>
      </c>
      <c r="H201" s="1" t="s">
        <v>398</v>
      </c>
      <c r="I201" s="24" t="s">
        <v>59</v>
      </c>
      <c r="J201" s="25">
        <v>25049.0</v>
      </c>
      <c r="K201" s="26">
        <v>0.08472222222222223</v>
      </c>
      <c r="L201" s="17" t="s">
        <v>354</v>
      </c>
      <c r="M201" s="1">
        <f t="shared" si="12"/>
        <v>2</v>
      </c>
      <c r="N201" s="1">
        <f t="shared" si="13"/>
        <v>2</v>
      </c>
      <c r="O201" s="1" t="str">
        <f t="shared" si="3"/>
        <v>22</v>
      </c>
      <c r="P201" s="1" t="str">
        <f t="shared" si="4"/>
        <v>DRAW</v>
      </c>
      <c r="Q201" s="1">
        <f t="shared" si="5"/>
        <v>0</v>
      </c>
    </row>
    <row r="202" ht="15.75" customHeight="1">
      <c r="A202" s="1">
        <v>25.0</v>
      </c>
      <c r="B202" s="18" t="s">
        <v>399</v>
      </c>
      <c r="C202" s="10" t="s">
        <v>29</v>
      </c>
      <c r="D202" s="19">
        <v>44612.0</v>
      </c>
      <c r="E202" s="22">
        <v>0.6770833333333334</v>
      </c>
      <c r="F202" s="23" t="s">
        <v>19</v>
      </c>
      <c r="G202" s="13" t="s">
        <v>272</v>
      </c>
      <c r="H202" s="1" t="s">
        <v>52</v>
      </c>
      <c r="I202" s="24" t="s">
        <v>59</v>
      </c>
      <c r="J202" s="25">
        <v>38315.0</v>
      </c>
      <c r="K202" s="26">
        <v>0.044444444444444446</v>
      </c>
      <c r="L202" s="17" t="s">
        <v>354</v>
      </c>
      <c r="M202" s="1">
        <f t="shared" si="12"/>
        <v>1</v>
      </c>
      <c r="N202" s="1">
        <f t="shared" si="13"/>
        <v>4</v>
      </c>
      <c r="O202" s="1" t="str">
        <f t="shared" si="3"/>
        <v>14</v>
      </c>
      <c r="P202" s="1" t="str">
        <f t="shared" si="4"/>
        <v>WIN</v>
      </c>
      <c r="Q202" s="1">
        <f t="shared" si="5"/>
        <v>1</v>
      </c>
    </row>
    <row r="203" ht="15.75" customHeight="1">
      <c r="A203" s="1">
        <v>26.0</v>
      </c>
      <c r="B203" s="18" t="s">
        <v>400</v>
      </c>
      <c r="C203" s="10" t="s">
        <v>29</v>
      </c>
      <c r="D203" s="19">
        <v>44619.0</v>
      </c>
      <c r="E203" s="22">
        <v>0.875</v>
      </c>
      <c r="F203" s="23" t="s">
        <v>24</v>
      </c>
      <c r="G203" s="13" t="s">
        <v>43</v>
      </c>
      <c r="H203" s="1" t="s">
        <v>401</v>
      </c>
      <c r="I203" s="24" t="s">
        <v>59</v>
      </c>
      <c r="J203" s="25">
        <v>69770.0</v>
      </c>
      <c r="K203" s="26">
        <v>0.16666666666666666</v>
      </c>
      <c r="L203" s="17" t="s">
        <v>354</v>
      </c>
      <c r="M203" s="1">
        <f t="shared" si="12"/>
        <v>4</v>
      </c>
      <c r="N203" s="1">
        <f t="shared" si="13"/>
        <v>0</v>
      </c>
      <c r="O203" s="1" t="str">
        <f t="shared" si="3"/>
        <v>40</v>
      </c>
      <c r="P203" s="1" t="str">
        <f t="shared" si="4"/>
        <v>WIN</v>
      </c>
      <c r="Q203" s="1">
        <f t="shared" si="5"/>
        <v>1</v>
      </c>
    </row>
    <row r="204" ht="15.75" customHeight="1">
      <c r="A204" s="1">
        <v>27.0</v>
      </c>
      <c r="B204" s="18" t="s">
        <v>402</v>
      </c>
      <c r="C204" s="10" t="s">
        <v>29</v>
      </c>
      <c r="D204" s="19">
        <v>44626.0</v>
      </c>
      <c r="E204" s="22">
        <v>0.6770833333333334</v>
      </c>
      <c r="F204" s="23" t="s">
        <v>19</v>
      </c>
      <c r="G204" s="13" t="s">
        <v>43</v>
      </c>
      <c r="H204" s="1" t="s">
        <v>403</v>
      </c>
      <c r="I204" s="24" t="s">
        <v>59</v>
      </c>
      <c r="J204" s="25">
        <v>30146.0</v>
      </c>
      <c r="K204" s="26">
        <v>0.043055555555555555</v>
      </c>
      <c r="L204" s="17" t="s">
        <v>354</v>
      </c>
      <c r="M204" s="1">
        <f t="shared" si="12"/>
        <v>1</v>
      </c>
      <c r="N204" s="1">
        <f t="shared" si="13"/>
        <v>2</v>
      </c>
      <c r="O204" s="1" t="str">
        <f t="shared" si="3"/>
        <v>12</v>
      </c>
      <c r="P204" s="1" t="str">
        <f t="shared" si="4"/>
        <v>WIN</v>
      </c>
      <c r="Q204" s="1">
        <f t="shared" si="5"/>
        <v>1</v>
      </c>
    </row>
    <row r="205" ht="15.75" customHeight="1">
      <c r="A205" s="1">
        <v>28.0</v>
      </c>
      <c r="B205" s="18" t="s">
        <v>404</v>
      </c>
      <c r="C205" s="10" t="s">
        <v>29</v>
      </c>
      <c r="D205" s="19">
        <v>44633.0</v>
      </c>
      <c r="E205" s="22">
        <v>0.875</v>
      </c>
      <c r="F205" s="23" t="s">
        <v>24</v>
      </c>
      <c r="G205" s="13" t="s">
        <v>87</v>
      </c>
      <c r="H205" s="1" t="s">
        <v>105</v>
      </c>
      <c r="I205" s="24" t="s">
        <v>59</v>
      </c>
      <c r="J205" s="25">
        <v>54507.0</v>
      </c>
      <c r="K205" s="26">
        <v>0.16666666666666666</v>
      </c>
      <c r="L205" s="17" t="s">
        <v>354</v>
      </c>
      <c r="M205" s="1">
        <f t="shared" si="12"/>
        <v>4</v>
      </c>
      <c r="N205" s="1">
        <f t="shared" si="13"/>
        <v>0</v>
      </c>
      <c r="O205" s="1" t="str">
        <f t="shared" si="3"/>
        <v>40</v>
      </c>
      <c r="P205" s="1" t="str">
        <f t="shared" si="4"/>
        <v>WIN</v>
      </c>
      <c r="Q205" s="1">
        <f t="shared" si="5"/>
        <v>1</v>
      </c>
    </row>
    <row r="206" ht="15.75" customHeight="1">
      <c r="A206" s="1">
        <v>29.0</v>
      </c>
      <c r="B206" s="18" t="s">
        <v>405</v>
      </c>
      <c r="C206" s="10" t="s">
        <v>29</v>
      </c>
      <c r="D206" s="19">
        <v>44640.0</v>
      </c>
      <c r="E206" s="22">
        <v>0.875</v>
      </c>
      <c r="F206" s="23" t="s">
        <v>19</v>
      </c>
      <c r="G206" s="13" t="s">
        <v>87</v>
      </c>
      <c r="H206" s="1" t="s">
        <v>233</v>
      </c>
      <c r="I206" s="24" t="s">
        <v>59</v>
      </c>
      <c r="J206" s="25">
        <v>60017.0</v>
      </c>
      <c r="K206" s="26">
        <v>0.002777777777777778</v>
      </c>
      <c r="L206" s="17" t="s">
        <v>354</v>
      </c>
      <c r="M206" s="1">
        <f t="shared" si="12"/>
        <v>0</v>
      </c>
      <c r="N206" s="1">
        <f t="shared" si="13"/>
        <v>4</v>
      </c>
      <c r="O206" s="1" t="str">
        <f t="shared" si="3"/>
        <v>04</v>
      </c>
      <c r="P206" s="1" t="str">
        <f t="shared" si="4"/>
        <v>WIN</v>
      </c>
      <c r="Q206" s="1">
        <f t="shared" si="5"/>
        <v>1</v>
      </c>
    </row>
    <row r="207" ht="15.75" customHeight="1">
      <c r="A207" s="1">
        <v>30.0</v>
      </c>
      <c r="B207" s="18" t="s">
        <v>406</v>
      </c>
      <c r="C207" s="10" t="s">
        <v>29</v>
      </c>
      <c r="D207" s="19">
        <v>44654.0</v>
      </c>
      <c r="E207" s="22">
        <v>0.875</v>
      </c>
      <c r="F207" s="23" t="s">
        <v>24</v>
      </c>
      <c r="G207" s="13" t="s">
        <v>87</v>
      </c>
      <c r="H207" s="1" t="s">
        <v>359</v>
      </c>
      <c r="I207" s="24" t="s">
        <v>59</v>
      </c>
      <c r="J207" s="25">
        <v>76112.0</v>
      </c>
      <c r="K207" s="26">
        <v>0.041666666666666664</v>
      </c>
      <c r="L207" s="17" t="s">
        <v>354</v>
      </c>
      <c r="M207" s="1">
        <f t="shared" si="12"/>
        <v>1</v>
      </c>
      <c r="N207" s="1">
        <f t="shared" si="13"/>
        <v>0</v>
      </c>
      <c r="O207" s="1" t="str">
        <f t="shared" si="3"/>
        <v>10</v>
      </c>
      <c r="P207" s="1" t="str">
        <f t="shared" si="4"/>
        <v>WIN</v>
      </c>
      <c r="Q207" s="1">
        <f t="shared" si="5"/>
        <v>1</v>
      </c>
    </row>
    <row r="208" ht="15.75" customHeight="1">
      <c r="A208" s="1">
        <v>31.0</v>
      </c>
      <c r="B208" s="18" t="s">
        <v>407</v>
      </c>
      <c r="C208" s="10" t="s">
        <v>29</v>
      </c>
      <c r="D208" s="19">
        <v>44661.0</v>
      </c>
      <c r="E208" s="22">
        <v>0.875</v>
      </c>
      <c r="F208" s="23" t="s">
        <v>19</v>
      </c>
      <c r="G208" s="13" t="s">
        <v>33</v>
      </c>
      <c r="H208" s="1" t="s">
        <v>408</v>
      </c>
      <c r="I208" s="24" t="s">
        <v>59</v>
      </c>
      <c r="J208" s="25">
        <v>20785.0</v>
      </c>
      <c r="K208" s="26">
        <v>0.08541666666666667</v>
      </c>
      <c r="L208" s="17" t="s">
        <v>354</v>
      </c>
      <c r="M208" s="1">
        <f t="shared" si="12"/>
        <v>2</v>
      </c>
      <c r="N208" s="1">
        <f t="shared" si="13"/>
        <v>3</v>
      </c>
      <c r="O208" s="1" t="str">
        <f t="shared" si="3"/>
        <v>23</v>
      </c>
      <c r="P208" s="1" t="str">
        <f t="shared" si="4"/>
        <v>WIN</v>
      </c>
      <c r="Q208" s="1">
        <f t="shared" si="5"/>
        <v>1</v>
      </c>
    </row>
    <row r="209" ht="15.75" customHeight="1">
      <c r="A209" s="1">
        <v>32.0</v>
      </c>
      <c r="B209" s="18" t="s">
        <v>409</v>
      </c>
      <c r="C209" s="10" t="s">
        <v>99</v>
      </c>
      <c r="D209" s="19">
        <v>44669.0</v>
      </c>
      <c r="E209" s="22">
        <v>0.875</v>
      </c>
      <c r="F209" s="23" t="s">
        <v>24</v>
      </c>
      <c r="G209" s="13" t="s">
        <v>33</v>
      </c>
      <c r="H209" s="1" t="s">
        <v>231</v>
      </c>
      <c r="I209" s="24" t="s">
        <v>59</v>
      </c>
      <c r="J209" s="25">
        <v>57495.0</v>
      </c>
      <c r="K209" s="26">
        <v>6.944444444444445E-4</v>
      </c>
      <c r="L209" s="17" t="s">
        <v>354</v>
      </c>
      <c r="M209" s="1">
        <f t="shared" si="12"/>
        <v>0</v>
      </c>
      <c r="N209" s="1">
        <f t="shared" si="13"/>
        <v>1</v>
      </c>
      <c r="O209" s="1" t="str">
        <f t="shared" si="3"/>
        <v>01</v>
      </c>
      <c r="P209" s="1" t="str">
        <f t="shared" si="4"/>
        <v>LOSS</v>
      </c>
      <c r="Q209" s="1">
        <f t="shared" si="5"/>
        <v>-1</v>
      </c>
    </row>
    <row r="210" ht="15.75" customHeight="1">
      <c r="A210" s="1">
        <v>33.0</v>
      </c>
      <c r="B210" s="18" t="s">
        <v>410</v>
      </c>
      <c r="C210" s="10" t="s">
        <v>18</v>
      </c>
      <c r="D210" s="19">
        <v>44672.0</v>
      </c>
      <c r="E210" s="22">
        <v>0.8958333333333334</v>
      </c>
      <c r="F210" s="23" t="s">
        <v>19</v>
      </c>
      <c r="G210" s="13" t="s">
        <v>33</v>
      </c>
      <c r="H210" s="1" t="s">
        <v>239</v>
      </c>
      <c r="I210" s="24" t="s">
        <v>59</v>
      </c>
      <c r="J210" s="25">
        <v>35128.0</v>
      </c>
      <c r="K210" s="26">
        <v>6.944444444444445E-4</v>
      </c>
      <c r="L210" s="17" t="s">
        <v>354</v>
      </c>
      <c r="M210" s="1">
        <f t="shared" si="12"/>
        <v>0</v>
      </c>
      <c r="N210" s="1">
        <f t="shared" si="13"/>
        <v>1</v>
      </c>
      <c r="O210" s="1" t="str">
        <f t="shared" si="3"/>
        <v>01</v>
      </c>
      <c r="P210" s="1" t="str">
        <f t="shared" si="4"/>
        <v>WIN</v>
      </c>
      <c r="Q210" s="1">
        <f t="shared" si="5"/>
        <v>1</v>
      </c>
    </row>
    <row r="211" ht="15.75" customHeight="1">
      <c r="A211" s="1">
        <v>34.0</v>
      </c>
      <c r="B211" s="18" t="s">
        <v>411</v>
      </c>
      <c r="C211" s="10" t="s">
        <v>29</v>
      </c>
      <c r="D211" s="19">
        <v>44682.0</v>
      </c>
      <c r="E211" s="22">
        <v>0.875</v>
      </c>
      <c r="F211" s="23" t="s">
        <v>24</v>
      </c>
      <c r="G211" s="13" t="s">
        <v>33</v>
      </c>
      <c r="H211" s="1" t="s">
        <v>189</v>
      </c>
      <c r="I211" s="24" t="s">
        <v>59</v>
      </c>
      <c r="J211" s="25">
        <v>62789.0</v>
      </c>
      <c r="K211" s="26">
        <v>0.08402777777777778</v>
      </c>
      <c r="L211" s="17" t="s">
        <v>354</v>
      </c>
      <c r="M211" s="1">
        <f t="shared" si="12"/>
        <v>2</v>
      </c>
      <c r="N211" s="1">
        <f t="shared" si="13"/>
        <v>1</v>
      </c>
      <c r="O211" s="1" t="str">
        <f t="shared" si="3"/>
        <v>21</v>
      </c>
      <c r="P211" s="1" t="str">
        <f t="shared" si="4"/>
        <v>WIN</v>
      </c>
      <c r="Q211" s="1">
        <f t="shared" si="5"/>
        <v>1</v>
      </c>
    </row>
    <row r="212" ht="15.75" customHeight="1">
      <c r="A212" s="1">
        <v>35.0</v>
      </c>
      <c r="B212" s="18" t="s">
        <v>412</v>
      </c>
      <c r="C212" s="10" t="s">
        <v>32</v>
      </c>
      <c r="D212" s="19">
        <v>44688.0</v>
      </c>
      <c r="E212" s="22">
        <v>0.875</v>
      </c>
      <c r="F212" s="23" t="s">
        <v>19</v>
      </c>
      <c r="G212" s="13" t="s">
        <v>33</v>
      </c>
      <c r="H212" s="1" t="s">
        <v>384</v>
      </c>
      <c r="I212" s="24" t="s">
        <v>59</v>
      </c>
      <c r="J212" s="25">
        <v>46132.0</v>
      </c>
      <c r="K212" s="26">
        <v>0.043055555555555555</v>
      </c>
      <c r="L212" s="17" t="s">
        <v>354</v>
      </c>
      <c r="M212" s="1">
        <f t="shared" si="12"/>
        <v>1</v>
      </c>
      <c r="N212" s="1">
        <f t="shared" si="13"/>
        <v>2</v>
      </c>
      <c r="O212" s="1" t="str">
        <f t="shared" si="3"/>
        <v>12</v>
      </c>
      <c r="P212" s="1" t="str">
        <f t="shared" si="4"/>
        <v>WIN</v>
      </c>
      <c r="Q212" s="1">
        <f t="shared" si="5"/>
        <v>1</v>
      </c>
    </row>
    <row r="213" ht="15.75" customHeight="1">
      <c r="A213" s="1">
        <v>36.0</v>
      </c>
      <c r="B213" s="18" t="s">
        <v>413</v>
      </c>
      <c r="C213" s="10" t="s">
        <v>26</v>
      </c>
      <c r="D213" s="19">
        <v>44691.0</v>
      </c>
      <c r="E213" s="22">
        <v>0.8958333333333334</v>
      </c>
      <c r="F213" s="23" t="s">
        <v>24</v>
      </c>
      <c r="G213" s="13" t="s">
        <v>33</v>
      </c>
      <c r="H213" s="1" t="s">
        <v>283</v>
      </c>
      <c r="I213" s="24" t="s">
        <v>21</v>
      </c>
      <c r="J213" s="25">
        <v>55899.0</v>
      </c>
      <c r="K213" s="26">
        <v>0.12569444444444444</v>
      </c>
      <c r="L213" s="17" t="s">
        <v>354</v>
      </c>
      <c r="M213" s="1">
        <f t="shared" si="12"/>
        <v>3</v>
      </c>
      <c r="N213" s="1">
        <f t="shared" si="13"/>
        <v>1</v>
      </c>
      <c r="O213" s="1" t="str">
        <f t="shared" si="3"/>
        <v>31</v>
      </c>
      <c r="P213" s="1" t="str">
        <f t="shared" si="4"/>
        <v>WIN</v>
      </c>
      <c r="Q213" s="1">
        <f t="shared" si="5"/>
        <v>1</v>
      </c>
    </row>
    <row r="214" ht="15.75" customHeight="1">
      <c r="A214" s="1">
        <v>37.0</v>
      </c>
      <c r="B214" s="18" t="s">
        <v>414</v>
      </c>
      <c r="C214" s="10" t="s">
        <v>29</v>
      </c>
      <c r="D214" s="19">
        <v>44696.0</v>
      </c>
      <c r="E214" s="22">
        <v>0.8125</v>
      </c>
      <c r="F214" s="23" t="s">
        <v>19</v>
      </c>
      <c r="G214" s="13" t="s">
        <v>33</v>
      </c>
      <c r="H214" s="1" t="s">
        <v>92</v>
      </c>
      <c r="I214" s="24" t="s">
        <v>59</v>
      </c>
      <c r="J214" s="25">
        <v>13072.0</v>
      </c>
      <c r="K214" s="26">
        <v>0.0</v>
      </c>
      <c r="L214" s="17" t="s">
        <v>354</v>
      </c>
      <c r="M214" s="1">
        <f t="shared" si="12"/>
        <v>0</v>
      </c>
      <c r="N214" s="1">
        <f t="shared" si="13"/>
        <v>0</v>
      </c>
      <c r="O214" s="1" t="str">
        <f t="shared" si="3"/>
        <v>00</v>
      </c>
      <c r="P214" s="1" t="str">
        <f t="shared" si="4"/>
        <v>DRAW</v>
      </c>
      <c r="Q214" s="1">
        <f t="shared" si="5"/>
        <v>0</v>
      </c>
    </row>
    <row r="215" ht="15.75" customHeight="1">
      <c r="A215" s="1">
        <v>38.0</v>
      </c>
      <c r="B215" s="18" t="s">
        <v>415</v>
      </c>
      <c r="C215" s="10" t="s">
        <v>29</v>
      </c>
      <c r="D215" s="19">
        <v>44703.0</v>
      </c>
      <c r="E215" s="22">
        <v>0.9166666666666666</v>
      </c>
      <c r="F215" s="23" t="s">
        <v>24</v>
      </c>
      <c r="G215" s="13" t="s">
        <v>33</v>
      </c>
      <c r="H215" s="1" t="s">
        <v>286</v>
      </c>
      <c r="I215" s="24" t="s">
        <v>59</v>
      </c>
      <c r="J215" s="25">
        <v>54850.0</v>
      </c>
      <c r="K215" s="26">
        <v>0.001388888888888889</v>
      </c>
      <c r="L215" s="17" t="s">
        <v>354</v>
      </c>
      <c r="M215" s="1">
        <f t="shared" si="12"/>
        <v>0</v>
      </c>
      <c r="N215" s="1">
        <f t="shared" si="13"/>
        <v>2</v>
      </c>
      <c r="O215" s="1" t="str">
        <f t="shared" si="3"/>
        <v>02</v>
      </c>
      <c r="P215" s="1" t="str">
        <f t="shared" si="4"/>
        <v>LOSS</v>
      </c>
      <c r="Q215" s="1">
        <f t="shared" si="5"/>
        <v>-1</v>
      </c>
    </row>
    <row r="216" ht="15.75" customHeight="1">
      <c r="A216" s="24" t="s">
        <v>416</v>
      </c>
      <c r="B216" s="18" t="s">
        <v>417</v>
      </c>
      <c r="C216" s="10" t="s">
        <v>26</v>
      </c>
      <c r="D216" s="19">
        <v>44453.0</v>
      </c>
      <c r="E216" s="22">
        <v>0.875</v>
      </c>
      <c r="F216" s="23" t="s">
        <v>24</v>
      </c>
      <c r="G216" s="13"/>
      <c r="H216" s="1" t="s">
        <v>132</v>
      </c>
      <c r="I216" s="24" t="s">
        <v>418</v>
      </c>
      <c r="J216" s="25">
        <v>39737.0</v>
      </c>
      <c r="K216" s="26">
        <v>0.0020833333333333333</v>
      </c>
      <c r="L216" s="17" t="s">
        <v>354</v>
      </c>
      <c r="M216" s="1">
        <f t="shared" si="12"/>
        <v>0</v>
      </c>
      <c r="N216" s="1">
        <f t="shared" si="13"/>
        <v>3</v>
      </c>
      <c r="O216" s="1" t="str">
        <f t="shared" si="3"/>
        <v>03</v>
      </c>
      <c r="P216" s="1" t="str">
        <f t="shared" si="4"/>
        <v>LOSS</v>
      </c>
      <c r="Q216" s="1">
        <f t="shared" si="5"/>
        <v>-1</v>
      </c>
    </row>
    <row r="217" ht="15.75" customHeight="1">
      <c r="A217" s="24" t="s">
        <v>416</v>
      </c>
      <c r="B217" s="18" t="s">
        <v>419</v>
      </c>
      <c r="C217" s="10" t="s">
        <v>23</v>
      </c>
      <c r="D217" s="19">
        <v>44468.0</v>
      </c>
      <c r="E217" s="22">
        <v>0.875</v>
      </c>
      <c r="F217" s="23" t="s">
        <v>19</v>
      </c>
      <c r="G217" s="13"/>
      <c r="H217" s="1" t="s">
        <v>140</v>
      </c>
      <c r="I217" s="45">
        <v>37379.0</v>
      </c>
      <c r="J217" s="25">
        <v>29454.0</v>
      </c>
      <c r="K217" s="26">
        <v>0.125</v>
      </c>
      <c r="L217" s="17" t="s">
        <v>354</v>
      </c>
      <c r="M217" s="1">
        <f t="shared" si="12"/>
        <v>3</v>
      </c>
      <c r="N217" s="1">
        <f t="shared" si="13"/>
        <v>0</v>
      </c>
      <c r="O217" s="1" t="str">
        <f t="shared" si="3"/>
        <v>30</v>
      </c>
      <c r="P217" s="1" t="str">
        <f t="shared" si="4"/>
        <v>LOSS</v>
      </c>
      <c r="Q217" s="1">
        <f t="shared" si="5"/>
        <v>-1</v>
      </c>
    </row>
    <row r="218" ht="15.75" customHeight="1">
      <c r="A218" s="24" t="s">
        <v>416</v>
      </c>
      <c r="B218" s="18" t="s">
        <v>420</v>
      </c>
      <c r="C218" s="10" t="s">
        <v>23</v>
      </c>
      <c r="D218" s="21">
        <v>44489.0</v>
      </c>
      <c r="E218" s="22">
        <v>0.78125</v>
      </c>
      <c r="F218" s="23" t="s">
        <v>24</v>
      </c>
      <c r="G218" s="13"/>
      <c r="H218" s="1" t="s">
        <v>421</v>
      </c>
      <c r="I218" s="24" t="s">
        <v>59</v>
      </c>
      <c r="J218" s="25">
        <v>45968.0</v>
      </c>
      <c r="K218" s="26">
        <v>0.041666666666666664</v>
      </c>
      <c r="L218" s="17" t="s">
        <v>354</v>
      </c>
      <c r="M218" s="1">
        <f t="shared" si="12"/>
        <v>1</v>
      </c>
      <c r="N218" s="1">
        <f t="shared" si="13"/>
        <v>0</v>
      </c>
      <c r="O218" s="1" t="str">
        <f t="shared" si="3"/>
        <v>10</v>
      </c>
      <c r="P218" s="1" t="str">
        <f t="shared" si="4"/>
        <v>WIN</v>
      </c>
      <c r="Q218" s="1">
        <f t="shared" si="5"/>
        <v>1</v>
      </c>
    </row>
    <row r="219" ht="15.75" customHeight="1">
      <c r="A219" s="24" t="s">
        <v>416</v>
      </c>
      <c r="B219" s="18" t="s">
        <v>422</v>
      </c>
      <c r="C219" s="10" t="s">
        <v>26</v>
      </c>
      <c r="D219" s="19">
        <v>44502.0</v>
      </c>
      <c r="E219" s="22">
        <v>0.875</v>
      </c>
      <c r="F219" s="23" t="s">
        <v>19</v>
      </c>
      <c r="G219" s="13"/>
      <c r="H219" s="1" t="s">
        <v>421</v>
      </c>
      <c r="I219" s="24" t="s">
        <v>59</v>
      </c>
      <c r="J219" s="25">
        <v>31378.0</v>
      </c>
      <c r="K219" s="26">
        <v>6.944444444444445E-4</v>
      </c>
      <c r="L219" s="17" t="s">
        <v>354</v>
      </c>
      <c r="M219" s="1">
        <f t="shared" si="12"/>
        <v>0</v>
      </c>
      <c r="N219" s="1">
        <f t="shared" si="13"/>
        <v>1</v>
      </c>
      <c r="O219" s="1" t="str">
        <f t="shared" si="3"/>
        <v>01</v>
      </c>
      <c r="P219" s="1" t="str">
        <f t="shared" si="4"/>
        <v>WIN</v>
      </c>
      <c r="Q219" s="1">
        <f t="shared" si="5"/>
        <v>1</v>
      </c>
    </row>
    <row r="220" ht="15.75" customHeight="1">
      <c r="A220" s="24" t="s">
        <v>416</v>
      </c>
      <c r="B220" s="18" t="s">
        <v>423</v>
      </c>
      <c r="C220" s="10" t="s">
        <v>26</v>
      </c>
      <c r="D220" s="21">
        <v>44523.0</v>
      </c>
      <c r="E220" s="22">
        <v>0.875</v>
      </c>
      <c r="F220" s="23" t="s">
        <v>24</v>
      </c>
      <c r="G220" s="13"/>
      <c r="H220" s="1" t="s">
        <v>140</v>
      </c>
      <c r="I220" s="24" t="s">
        <v>179</v>
      </c>
      <c r="J220" s="25">
        <v>49572.0</v>
      </c>
      <c r="K220" s="26">
        <v>0.0</v>
      </c>
      <c r="L220" s="17" t="s">
        <v>354</v>
      </c>
      <c r="M220" s="1">
        <f t="shared" si="12"/>
        <v>0</v>
      </c>
      <c r="N220" s="1">
        <f t="shared" si="13"/>
        <v>0</v>
      </c>
      <c r="O220" s="1" t="str">
        <f t="shared" si="3"/>
        <v>00</v>
      </c>
      <c r="P220" s="1" t="str">
        <f t="shared" si="4"/>
        <v>DRAW</v>
      </c>
      <c r="Q220" s="1">
        <f t="shared" si="5"/>
        <v>0</v>
      </c>
    </row>
    <row r="221" ht="15.75" customHeight="1">
      <c r="A221" s="24" t="s">
        <v>416</v>
      </c>
      <c r="B221" s="18" t="s">
        <v>424</v>
      </c>
      <c r="C221" s="10" t="s">
        <v>23</v>
      </c>
      <c r="D221" s="19">
        <v>44538.0</v>
      </c>
      <c r="E221" s="22">
        <v>0.875</v>
      </c>
      <c r="F221" s="23" t="s">
        <v>19</v>
      </c>
      <c r="G221" s="13"/>
      <c r="H221" s="1" t="s">
        <v>132</v>
      </c>
      <c r="I221" s="24" t="s">
        <v>59</v>
      </c>
      <c r="J221" s="14">
        <v>0.0</v>
      </c>
      <c r="K221" s="26">
        <v>0.125</v>
      </c>
      <c r="L221" s="17" t="s">
        <v>354</v>
      </c>
      <c r="M221" s="1">
        <f t="shared" si="12"/>
        <v>3</v>
      </c>
      <c r="N221" s="1">
        <f t="shared" si="13"/>
        <v>0</v>
      </c>
      <c r="O221" s="1" t="str">
        <f t="shared" si="3"/>
        <v>30</v>
      </c>
      <c r="P221" s="1" t="str">
        <f t="shared" si="4"/>
        <v>LOSS</v>
      </c>
      <c r="Q221" s="1">
        <f t="shared" si="5"/>
        <v>-1</v>
      </c>
    </row>
    <row r="222" ht="15.75" customHeight="1">
      <c r="A222" s="24" t="s">
        <v>339</v>
      </c>
      <c r="B222" s="18" t="s">
        <v>425</v>
      </c>
      <c r="C222" s="10" t="s">
        <v>18</v>
      </c>
      <c r="D222" s="19">
        <v>44609.0</v>
      </c>
      <c r="E222" s="22">
        <v>0.78125</v>
      </c>
      <c r="F222" s="23" t="s">
        <v>24</v>
      </c>
      <c r="G222" s="13"/>
      <c r="H222" s="1" t="s">
        <v>256</v>
      </c>
      <c r="I222" s="24" t="s">
        <v>59</v>
      </c>
      <c r="J222" s="25">
        <v>73525.0</v>
      </c>
      <c r="K222" s="26">
        <v>0.04236111111111111</v>
      </c>
      <c r="L222" s="17" t="s">
        <v>354</v>
      </c>
      <c r="M222" s="1">
        <f t="shared" si="12"/>
        <v>1</v>
      </c>
      <c r="N222" s="1">
        <f t="shared" si="13"/>
        <v>1</v>
      </c>
      <c r="O222" s="1" t="str">
        <f t="shared" si="3"/>
        <v>11</v>
      </c>
      <c r="P222" s="1" t="str">
        <f t="shared" si="4"/>
        <v>DRAW</v>
      </c>
      <c r="Q222" s="1">
        <f t="shared" si="5"/>
        <v>0</v>
      </c>
    </row>
    <row r="223" ht="15.75" customHeight="1">
      <c r="A223" s="24" t="s">
        <v>342</v>
      </c>
      <c r="B223" s="18" t="s">
        <v>426</v>
      </c>
      <c r="C223" s="10" t="s">
        <v>18</v>
      </c>
      <c r="D223" s="19">
        <v>44616.0</v>
      </c>
      <c r="E223" s="22">
        <v>0.875</v>
      </c>
      <c r="F223" s="23" t="s">
        <v>19</v>
      </c>
      <c r="G223" s="13"/>
      <c r="H223" s="1" t="s">
        <v>256</v>
      </c>
      <c r="I223" s="24" t="s">
        <v>59</v>
      </c>
      <c r="J223" s="25">
        <v>37858.0</v>
      </c>
      <c r="K223" s="26">
        <v>0.08611111111111111</v>
      </c>
      <c r="L223" s="17" t="s">
        <v>354</v>
      </c>
      <c r="M223" s="1">
        <f t="shared" si="12"/>
        <v>2</v>
      </c>
      <c r="N223" s="1">
        <f t="shared" si="13"/>
        <v>4</v>
      </c>
      <c r="O223" s="1" t="str">
        <f t="shared" si="3"/>
        <v>24</v>
      </c>
      <c r="P223" s="1" t="str">
        <f t="shared" si="4"/>
        <v>WIN</v>
      </c>
      <c r="Q223" s="1">
        <f t="shared" si="5"/>
        <v>1</v>
      </c>
    </row>
    <row r="224" ht="15.75" customHeight="1">
      <c r="A224" s="24" t="s">
        <v>143</v>
      </c>
      <c r="B224" s="18" t="s">
        <v>427</v>
      </c>
      <c r="C224" s="10" t="s">
        <v>18</v>
      </c>
      <c r="D224" s="19">
        <v>44630.0</v>
      </c>
      <c r="E224" s="22">
        <v>0.875</v>
      </c>
      <c r="F224" s="23" t="s">
        <v>24</v>
      </c>
      <c r="G224" s="13"/>
      <c r="H224" s="1" t="s">
        <v>428</v>
      </c>
      <c r="I224" s="24" t="s">
        <v>59</v>
      </c>
      <c r="J224" s="25">
        <v>61740.0</v>
      </c>
      <c r="K224" s="26">
        <v>0.0</v>
      </c>
      <c r="L224" s="17" t="s">
        <v>354</v>
      </c>
      <c r="M224" s="1">
        <f t="shared" si="12"/>
        <v>0</v>
      </c>
      <c r="N224" s="1">
        <f t="shared" si="13"/>
        <v>0</v>
      </c>
      <c r="O224" s="1" t="str">
        <f t="shared" si="3"/>
        <v>00</v>
      </c>
      <c r="P224" s="1" t="str">
        <f t="shared" si="4"/>
        <v>DRAW</v>
      </c>
      <c r="Q224" s="1">
        <f t="shared" si="5"/>
        <v>0</v>
      </c>
    </row>
    <row r="225" ht="15.75" customHeight="1">
      <c r="A225" s="24" t="s">
        <v>145</v>
      </c>
      <c r="B225" s="18" t="s">
        <v>429</v>
      </c>
      <c r="C225" s="10" t="s">
        <v>18</v>
      </c>
      <c r="D225" s="19">
        <v>44637.0</v>
      </c>
      <c r="E225" s="22">
        <v>0.78125</v>
      </c>
      <c r="F225" s="23" t="s">
        <v>19</v>
      </c>
      <c r="G225" s="13"/>
      <c r="H225" s="1" t="s">
        <v>428</v>
      </c>
      <c r="I225" s="24" t="s">
        <v>59</v>
      </c>
      <c r="J225" s="25">
        <v>50110.0</v>
      </c>
      <c r="K225" s="26">
        <v>0.043055555555555555</v>
      </c>
      <c r="L225" s="17" t="s">
        <v>354</v>
      </c>
      <c r="M225" s="1">
        <f t="shared" si="12"/>
        <v>1</v>
      </c>
      <c r="N225" s="1">
        <f t="shared" si="13"/>
        <v>2</v>
      </c>
      <c r="O225" s="1" t="str">
        <f t="shared" si="3"/>
        <v>12</v>
      </c>
      <c r="P225" s="1" t="str">
        <f t="shared" si="4"/>
        <v>WIN</v>
      </c>
      <c r="Q225" s="1">
        <f t="shared" si="5"/>
        <v>1</v>
      </c>
    </row>
    <row r="226" ht="15.75" customHeight="1">
      <c r="A226" s="24" t="s">
        <v>147</v>
      </c>
      <c r="B226" s="18" t="s">
        <v>430</v>
      </c>
      <c r="C226" s="10" t="s">
        <v>18</v>
      </c>
      <c r="D226" s="19">
        <v>44658.0</v>
      </c>
      <c r="E226" s="22">
        <v>0.875</v>
      </c>
      <c r="F226" s="23" t="s">
        <v>19</v>
      </c>
      <c r="G226" s="13"/>
      <c r="H226" s="1" t="s">
        <v>431</v>
      </c>
      <c r="I226" s="24" t="s">
        <v>59</v>
      </c>
      <c r="J226" s="27">
        <v>48000.0</v>
      </c>
      <c r="K226" s="26">
        <v>0.04236111111111111</v>
      </c>
      <c r="L226" s="17" t="s">
        <v>354</v>
      </c>
      <c r="M226" s="1">
        <f t="shared" si="12"/>
        <v>1</v>
      </c>
      <c r="N226" s="1">
        <f t="shared" si="13"/>
        <v>1</v>
      </c>
      <c r="O226" s="1" t="str">
        <f t="shared" si="3"/>
        <v>11</v>
      </c>
      <c r="P226" s="1" t="str">
        <f t="shared" si="4"/>
        <v>DRAW</v>
      </c>
      <c r="Q226" s="1">
        <f t="shared" si="5"/>
        <v>0</v>
      </c>
    </row>
    <row r="227" ht="15.75" customHeight="1">
      <c r="A227" s="24" t="s">
        <v>149</v>
      </c>
      <c r="B227" s="18" t="s">
        <v>432</v>
      </c>
      <c r="C227" s="10" t="s">
        <v>18</v>
      </c>
      <c r="D227" s="19">
        <v>44665.0</v>
      </c>
      <c r="E227" s="22">
        <v>0.875</v>
      </c>
      <c r="F227" s="23" t="s">
        <v>24</v>
      </c>
      <c r="G227" s="13"/>
      <c r="H227" s="1" t="s">
        <v>431</v>
      </c>
      <c r="I227" s="24" t="s">
        <v>59</v>
      </c>
      <c r="J227" s="25">
        <v>79468.0</v>
      </c>
      <c r="K227" s="26">
        <v>0.08541666666666667</v>
      </c>
      <c r="L227" s="17" t="s">
        <v>354</v>
      </c>
      <c r="M227" s="1">
        <f t="shared" si="12"/>
        <v>2</v>
      </c>
      <c r="N227" s="1">
        <f t="shared" si="13"/>
        <v>3</v>
      </c>
      <c r="O227" s="1" t="str">
        <f t="shared" si="3"/>
        <v>23</v>
      </c>
      <c r="P227" s="1" t="str">
        <f t="shared" si="4"/>
        <v>LOSS</v>
      </c>
      <c r="Q227" s="1">
        <f t="shared" si="5"/>
        <v>-1</v>
      </c>
    </row>
    <row r="228" ht="15.75" customHeight="1">
      <c r="A228" s="24" t="s">
        <v>157</v>
      </c>
      <c r="B228" s="18" t="s">
        <v>433</v>
      </c>
      <c r="C228" s="10" t="s">
        <v>23</v>
      </c>
      <c r="D228" s="19">
        <v>44566.0</v>
      </c>
      <c r="E228" s="22">
        <v>0.8125</v>
      </c>
      <c r="F228" s="23" t="s">
        <v>19</v>
      </c>
      <c r="G228" s="13"/>
      <c r="H228" s="1" t="s">
        <v>434</v>
      </c>
      <c r="I228" s="24" t="s">
        <v>418</v>
      </c>
      <c r="J228" s="27">
        <v>10000.0</v>
      </c>
      <c r="K228" s="26">
        <v>0.043055555555555555</v>
      </c>
      <c r="L228" s="17" t="s">
        <v>354</v>
      </c>
      <c r="M228" s="1">
        <f t="shared" si="12"/>
        <v>1</v>
      </c>
      <c r="N228" s="1">
        <f t="shared" si="13"/>
        <v>2</v>
      </c>
      <c r="O228" s="1" t="str">
        <f t="shared" si="3"/>
        <v>12</v>
      </c>
      <c r="P228" s="1" t="str">
        <f t="shared" si="4"/>
        <v>WIN</v>
      </c>
      <c r="Q228" s="1">
        <f t="shared" si="5"/>
        <v>1</v>
      </c>
    </row>
    <row r="229" ht="15.75" customHeight="1">
      <c r="A229" s="24" t="s">
        <v>160</v>
      </c>
      <c r="B229" s="18" t="s">
        <v>435</v>
      </c>
      <c r="C229" s="10" t="s">
        <v>18</v>
      </c>
      <c r="D229" s="19">
        <v>44581.0</v>
      </c>
      <c r="E229" s="22">
        <v>0.8958333333333334</v>
      </c>
      <c r="F229" s="23" t="s">
        <v>19</v>
      </c>
      <c r="G229" s="13"/>
      <c r="H229" s="1" t="s">
        <v>264</v>
      </c>
      <c r="I229" s="24" t="s">
        <v>59</v>
      </c>
      <c r="J229" s="25">
        <v>37287.0</v>
      </c>
      <c r="K229" s="28" t="s">
        <v>172</v>
      </c>
      <c r="L229" s="17" t="s">
        <v>354</v>
      </c>
      <c r="M229" s="6">
        <v>3.0</v>
      </c>
      <c r="N229" s="6">
        <v>2.0</v>
      </c>
      <c r="O229" s="1" t="str">
        <f t="shared" si="3"/>
        <v>32</v>
      </c>
      <c r="P229" s="1" t="str">
        <f t="shared" si="4"/>
        <v>LOSS</v>
      </c>
      <c r="Q229" s="1">
        <f t="shared" si="5"/>
        <v>-1</v>
      </c>
    </row>
    <row r="230" ht="15.75" customHeight="1">
      <c r="A230" s="1">
        <v>1.0</v>
      </c>
      <c r="B230" s="18" t="s">
        <v>436</v>
      </c>
      <c r="C230" s="10" t="s">
        <v>191</v>
      </c>
      <c r="D230" s="19">
        <v>43693.0</v>
      </c>
      <c r="E230" s="22">
        <v>0.875</v>
      </c>
      <c r="F230" s="23" t="s">
        <v>19</v>
      </c>
      <c r="G230" s="13" t="s">
        <v>33</v>
      </c>
      <c r="H230" s="1" t="s">
        <v>356</v>
      </c>
      <c r="I230" s="24" t="s">
        <v>59</v>
      </c>
      <c r="J230" s="25">
        <v>47693.0</v>
      </c>
      <c r="K230" s="26">
        <v>0.041666666666666664</v>
      </c>
      <c r="L230" s="1" t="s">
        <v>437</v>
      </c>
      <c r="M230" s="1">
        <f t="shared" ref="M230:M382" si="14">+HOUR(K230)</f>
        <v>1</v>
      </c>
      <c r="N230" s="1">
        <f t="shared" ref="N230:N382" si="15">+MINUTE(K230)</f>
        <v>0</v>
      </c>
      <c r="O230" s="1" t="str">
        <f t="shared" si="3"/>
        <v>10</v>
      </c>
      <c r="P230" s="1" t="str">
        <f t="shared" si="4"/>
        <v>LOSS</v>
      </c>
      <c r="Q230" s="1">
        <f t="shared" si="5"/>
        <v>-1</v>
      </c>
    </row>
    <row r="231" ht="15.75" customHeight="1">
      <c r="A231" s="1">
        <v>2.0</v>
      </c>
      <c r="B231" s="18" t="s">
        <v>438</v>
      </c>
      <c r="C231" s="10" t="s">
        <v>29</v>
      </c>
      <c r="D231" s="19">
        <v>43702.0</v>
      </c>
      <c r="E231" s="22">
        <v>0.875</v>
      </c>
      <c r="F231" s="23" t="s">
        <v>24</v>
      </c>
      <c r="G231" s="13" t="s">
        <v>439</v>
      </c>
      <c r="H231" s="1" t="s">
        <v>440</v>
      </c>
      <c r="I231" s="24" t="s">
        <v>59</v>
      </c>
      <c r="J231" s="25">
        <v>79159.0</v>
      </c>
      <c r="K231" s="26">
        <v>0.20972222222222223</v>
      </c>
      <c r="L231" s="1" t="s">
        <v>437</v>
      </c>
      <c r="M231" s="1">
        <f t="shared" si="14"/>
        <v>5</v>
      </c>
      <c r="N231" s="1">
        <f t="shared" si="15"/>
        <v>2</v>
      </c>
      <c r="O231" s="1" t="str">
        <f t="shared" si="3"/>
        <v>52</v>
      </c>
      <c r="P231" s="1" t="str">
        <f t="shared" si="4"/>
        <v>WIN</v>
      </c>
      <c r="Q231" s="1">
        <f t="shared" si="5"/>
        <v>1</v>
      </c>
    </row>
    <row r="232" ht="15.75" customHeight="1">
      <c r="A232" s="1">
        <v>3.0</v>
      </c>
      <c r="B232" s="18" t="s">
        <v>441</v>
      </c>
      <c r="C232" s="10" t="s">
        <v>32</v>
      </c>
      <c r="D232" s="19">
        <v>43708.0</v>
      </c>
      <c r="E232" s="22">
        <v>0.7083333333333334</v>
      </c>
      <c r="F232" s="23" t="s">
        <v>19</v>
      </c>
      <c r="G232" s="13" t="s">
        <v>375</v>
      </c>
      <c r="H232" s="1" t="s">
        <v>442</v>
      </c>
      <c r="I232" s="24" t="s">
        <v>59</v>
      </c>
      <c r="J232" s="25">
        <v>16742.0</v>
      </c>
      <c r="K232" s="26">
        <v>0.08472222222222223</v>
      </c>
      <c r="L232" s="1" t="s">
        <v>437</v>
      </c>
      <c r="M232" s="1">
        <f t="shared" si="14"/>
        <v>2</v>
      </c>
      <c r="N232" s="1">
        <f t="shared" si="15"/>
        <v>2</v>
      </c>
      <c r="O232" s="1" t="str">
        <f t="shared" si="3"/>
        <v>22</v>
      </c>
      <c r="P232" s="1" t="str">
        <f t="shared" si="4"/>
        <v>DRAW</v>
      </c>
      <c r="Q232" s="1">
        <f t="shared" si="5"/>
        <v>0</v>
      </c>
    </row>
    <row r="233" ht="15.75" customHeight="1">
      <c r="A233" s="1">
        <v>4.0</v>
      </c>
      <c r="B233" s="18" t="s">
        <v>443</v>
      </c>
      <c r="C233" s="10" t="s">
        <v>32</v>
      </c>
      <c r="D233" s="19">
        <v>43722.0</v>
      </c>
      <c r="E233" s="22">
        <v>0.875</v>
      </c>
      <c r="F233" s="23" t="s">
        <v>24</v>
      </c>
      <c r="G233" s="13" t="s">
        <v>444</v>
      </c>
      <c r="H233" s="1" t="s">
        <v>44</v>
      </c>
      <c r="I233" s="24" t="s">
        <v>59</v>
      </c>
      <c r="J233" s="25">
        <v>81617.0</v>
      </c>
      <c r="K233" s="26">
        <v>0.20972222222222223</v>
      </c>
      <c r="L233" s="1" t="s">
        <v>437</v>
      </c>
      <c r="M233" s="1">
        <f t="shared" si="14"/>
        <v>5</v>
      </c>
      <c r="N233" s="1">
        <f t="shared" si="15"/>
        <v>2</v>
      </c>
      <c r="O233" s="1" t="str">
        <f t="shared" si="3"/>
        <v>52</v>
      </c>
      <c r="P233" s="1" t="str">
        <f t="shared" si="4"/>
        <v>WIN</v>
      </c>
      <c r="Q233" s="1">
        <f t="shared" si="5"/>
        <v>1</v>
      </c>
    </row>
    <row r="234" ht="15.75" customHeight="1">
      <c r="A234" s="1">
        <v>5.0</v>
      </c>
      <c r="B234" s="18" t="s">
        <v>445</v>
      </c>
      <c r="C234" s="10" t="s">
        <v>32</v>
      </c>
      <c r="D234" s="19">
        <v>43729.0</v>
      </c>
      <c r="E234" s="22">
        <v>0.875</v>
      </c>
      <c r="F234" s="23" t="s">
        <v>19</v>
      </c>
      <c r="G234" s="13" t="s">
        <v>272</v>
      </c>
      <c r="H234" s="1" t="s">
        <v>446</v>
      </c>
      <c r="I234" s="24" t="s">
        <v>59</v>
      </c>
      <c r="J234" s="27">
        <v>18880.0</v>
      </c>
      <c r="K234" s="26">
        <v>0.08333333333333333</v>
      </c>
      <c r="L234" s="1" t="s">
        <v>437</v>
      </c>
      <c r="M234" s="1">
        <f t="shared" si="14"/>
        <v>2</v>
      </c>
      <c r="N234" s="1">
        <f t="shared" si="15"/>
        <v>0</v>
      </c>
      <c r="O234" s="1" t="str">
        <f t="shared" si="3"/>
        <v>20</v>
      </c>
      <c r="P234" s="1" t="str">
        <f t="shared" si="4"/>
        <v>LOSS</v>
      </c>
      <c r="Q234" s="1">
        <f t="shared" si="5"/>
        <v>-1</v>
      </c>
    </row>
    <row r="235" ht="15.75" customHeight="1">
      <c r="A235" s="1">
        <v>6.0</v>
      </c>
      <c r="B235" s="18" t="s">
        <v>447</v>
      </c>
      <c r="C235" s="10" t="s">
        <v>26</v>
      </c>
      <c r="D235" s="19">
        <v>43732.0</v>
      </c>
      <c r="E235" s="22">
        <v>0.875</v>
      </c>
      <c r="F235" s="23" t="s">
        <v>24</v>
      </c>
      <c r="G235" s="13" t="s">
        <v>365</v>
      </c>
      <c r="H235" s="1" t="s">
        <v>286</v>
      </c>
      <c r="I235" s="24" t="s">
        <v>59</v>
      </c>
      <c r="J235" s="25">
        <v>70316.0</v>
      </c>
      <c r="K235" s="26">
        <v>0.08402777777777778</v>
      </c>
      <c r="L235" s="1" t="s">
        <v>437</v>
      </c>
      <c r="M235" s="1">
        <f t="shared" si="14"/>
        <v>2</v>
      </c>
      <c r="N235" s="1">
        <f t="shared" si="15"/>
        <v>1</v>
      </c>
      <c r="O235" s="1" t="str">
        <f t="shared" si="3"/>
        <v>21</v>
      </c>
      <c r="P235" s="1" t="str">
        <f t="shared" si="4"/>
        <v>WIN</v>
      </c>
      <c r="Q235" s="1">
        <f t="shared" si="5"/>
        <v>1</v>
      </c>
    </row>
    <row r="236" ht="15.75" customHeight="1">
      <c r="A236" s="1">
        <v>7.0</v>
      </c>
      <c r="B236" s="18" t="s">
        <v>448</v>
      </c>
      <c r="C236" s="10" t="s">
        <v>32</v>
      </c>
      <c r="D236" s="19">
        <v>43736.0</v>
      </c>
      <c r="E236" s="22">
        <v>0.6666666666666666</v>
      </c>
      <c r="F236" s="23" t="s">
        <v>19</v>
      </c>
      <c r="G236" s="13" t="s">
        <v>181</v>
      </c>
      <c r="H236" s="1" t="s">
        <v>222</v>
      </c>
      <c r="I236" s="24" t="s">
        <v>59</v>
      </c>
      <c r="J236" s="25">
        <v>15135.0</v>
      </c>
      <c r="K236" s="26">
        <v>0.001388888888888889</v>
      </c>
      <c r="L236" s="1" t="s">
        <v>437</v>
      </c>
      <c r="M236" s="1">
        <f t="shared" si="14"/>
        <v>0</v>
      </c>
      <c r="N236" s="1">
        <f t="shared" si="15"/>
        <v>2</v>
      </c>
      <c r="O236" s="1" t="str">
        <f t="shared" si="3"/>
        <v>02</v>
      </c>
      <c r="P236" s="1" t="str">
        <f t="shared" si="4"/>
        <v>WIN</v>
      </c>
      <c r="Q236" s="1">
        <f t="shared" si="5"/>
        <v>1</v>
      </c>
    </row>
    <row r="237" ht="15.75" customHeight="1">
      <c r="A237" s="1">
        <v>8.0</v>
      </c>
      <c r="B237" s="18" t="s">
        <v>449</v>
      </c>
      <c r="C237" s="10" t="s">
        <v>29</v>
      </c>
      <c r="D237" s="19">
        <v>43744.0</v>
      </c>
      <c r="E237" s="22">
        <v>0.875</v>
      </c>
      <c r="F237" s="23" t="s">
        <v>24</v>
      </c>
      <c r="G237" s="13" t="s">
        <v>272</v>
      </c>
      <c r="H237" s="1" t="s">
        <v>450</v>
      </c>
      <c r="I237" s="24" t="s">
        <v>59</v>
      </c>
      <c r="J237" s="25">
        <v>81331.0</v>
      </c>
      <c r="K237" s="26">
        <v>0.16666666666666666</v>
      </c>
      <c r="L237" s="1" t="s">
        <v>437</v>
      </c>
      <c r="M237" s="1">
        <f t="shared" si="14"/>
        <v>4</v>
      </c>
      <c r="N237" s="1">
        <f t="shared" si="15"/>
        <v>0</v>
      </c>
      <c r="O237" s="1" t="str">
        <f t="shared" si="3"/>
        <v>40</v>
      </c>
      <c r="P237" s="1" t="str">
        <f t="shared" si="4"/>
        <v>WIN</v>
      </c>
      <c r="Q237" s="1">
        <f t="shared" si="5"/>
        <v>1</v>
      </c>
    </row>
    <row r="238" ht="15.75" customHeight="1">
      <c r="A238" s="1">
        <v>9.0</v>
      </c>
      <c r="B238" s="18" t="s">
        <v>451</v>
      </c>
      <c r="C238" s="10" t="s">
        <v>32</v>
      </c>
      <c r="D238" s="21">
        <v>43757.0</v>
      </c>
      <c r="E238" s="22">
        <v>0.5416666666666666</v>
      </c>
      <c r="F238" s="23" t="s">
        <v>19</v>
      </c>
      <c r="G238" s="13" t="s">
        <v>33</v>
      </c>
      <c r="H238" s="1" t="s">
        <v>452</v>
      </c>
      <c r="I238" s="24" t="s">
        <v>59</v>
      </c>
      <c r="J238" s="25">
        <v>7295.0</v>
      </c>
      <c r="K238" s="26">
        <v>0.0020833333333333333</v>
      </c>
      <c r="L238" s="1" t="s">
        <v>437</v>
      </c>
      <c r="M238" s="1">
        <f t="shared" si="14"/>
        <v>0</v>
      </c>
      <c r="N238" s="1">
        <f t="shared" si="15"/>
        <v>3</v>
      </c>
      <c r="O238" s="1" t="str">
        <f t="shared" si="3"/>
        <v>03</v>
      </c>
      <c r="P238" s="1" t="str">
        <f t="shared" si="4"/>
        <v>WIN</v>
      </c>
      <c r="Q238" s="1">
        <f t="shared" si="5"/>
        <v>1</v>
      </c>
    </row>
    <row r="239" ht="15.75" customHeight="1">
      <c r="A239" s="1">
        <v>10.0</v>
      </c>
      <c r="B239" s="18" t="s">
        <v>453</v>
      </c>
      <c r="C239" s="10" t="s">
        <v>23</v>
      </c>
      <c r="D239" s="21">
        <v>43817.0</v>
      </c>
      <c r="E239" s="22">
        <v>0.8333333333333334</v>
      </c>
      <c r="F239" s="23" t="s">
        <v>24</v>
      </c>
      <c r="G239" s="13" t="s">
        <v>30</v>
      </c>
      <c r="H239" s="1" t="s">
        <v>73</v>
      </c>
      <c r="I239" s="24" t="s">
        <v>59</v>
      </c>
      <c r="J239" s="25">
        <v>93426.0</v>
      </c>
      <c r="K239" s="26">
        <v>0.0</v>
      </c>
      <c r="L239" s="1" t="s">
        <v>437</v>
      </c>
      <c r="M239" s="1">
        <f t="shared" si="14"/>
        <v>0</v>
      </c>
      <c r="N239" s="1">
        <f t="shared" si="15"/>
        <v>0</v>
      </c>
      <c r="O239" s="1" t="str">
        <f t="shared" si="3"/>
        <v>00</v>
      </c>
      <c r="P239" s="1" t="str">
        <f t="shared" si="4"/>
        <v>DRAW</v>
      </c>
      <c r="Q239" s="1">
        <f t="shared" si="5"/>
        <v>0</v>
      </c>
    </row>
    <row r="240" ht="15.75" customHeight="1">
      <c r="A240" s="1">
        <v>11.0</v>
      </c>
      <c r="B240" s="18" t="s">
        <v>454</v>
      </c>
      <c r="C240" s="10" t="s">
        <v>26</v>
      </c>
      <c r="D240" s="21">
        <v>43767.0</v>
      </c>
      <c r="E240" s="22">
        <v>0.8854166666666666</v>
      </c>
      <c r="F240" s="23" t="s">
        <v>24</v>
      </c>
      <c r="G240" s="13" t="s">
        <v>33</v>
      </c>
      <c r="H240" s="1" t="s">
        <v>455</v>
      </c>
      <c r="I240" s="24" t="s">
        <v>59</v>
      </c>
      <c r="J240" s="25">
        <v>59896.0</v>
      </c>
      <c r="K240" s="26">
        <v>0.20902777777777778</v>
      </c>
      <c r="L240" s="1" t="s">
        <v>437</v>
      </c>
      <c r="M240" s="1">
        <f t="shared" si="14"/>
        <v>5</v>
      </c>
      <c r="N240" s="1">
        <f t="shared" si="15"/>
        <v>1</v>
      </c>
      <c r="O240" s="1" t="str">
        <f t="shared" si="3"/>
        <v>51</v>
      </c>
      <c r="P240" s="1" t="str">
        <f t="shared" si="4"/>
        <v>WIN</v>
      </c>
      <c r="Q240" s="1">
        <f t="shared" si="5"/>
        <v>1</v>
      </c>
    </row>
    <row r="241" ht="15.75" customHeight="1">
      <c r="A241" s="1">
        <v>12.0</v>
      </c>
      <c r="B241" s="18" t="s">
        <v>456</v>
      </c>
      <c r="C241" s="10" t="s">
        <v>32</v>
      </c>
      <c r="D241" s="19">
        <v>43771.0</v>
      </c>
      <c r="E241" s="22">
        <v>0.6666666666666666</v>
      </c>
      <c r="F241" s="23" t="s">
        <v>19</v>
      </c>
      <c r="G241" s="13" t="s">
        <v>30</v>
      </c>
      <c r="H241" s="1" t="s">
        <v>457</v>
      </c>
      <c r="I241" s="24" t="s">
        <v>59</v>
      </c>
      <c r="J241" s="25">
        <v>23341.0</v>
      </c>
      <c r="K241" s="26">
        <v>0.12569444444444444</v>
      </c>
      <c r="L241" s="1" t="s">
        <v>437</v>
      </c>
      <c r="M241" s="1">
        <f t="shared" si="14"/>
        <v>3</v>
      </c>
      <c r="N241" s="1">
        <f t="shared" si="15"/>
        <v>1</v>
      </c>
      <c r="O241" s="1" t="str">
        <f t="shared" si="3"/>
        <v>31</v>
      </c>
      <c r="P241" s="1" t="str">
        <f t="shared" si="4"/>
        <v>LOSS</v>
      </c>
      <c r="Q241" s="1">
        <f t="shared" si="5"/>
        <v>-1</v>
      </c>
    </row>
    <row r="242" ht="15.75" customHeight="1">
      <c r="A242" s="1">
        <v>13.0</v>
      </c>
      <c r="B242" s="18" t="s">
        <v>458</v>
      </c>
      <c r="C242" s="10" t="s">
        <v>32</v>
      </c>
      <c r="D242" s="19">
        <v>43778.0</v>
      </c>
      <c r="E242" s="22">
        <v>0.875</v>
      </c>
      <c r="F242" s="23" t="s">
        <v>24</v>
      </c>
      <c r="G242" s="13" t="s">
        <v>30</v>
      </c>
      <c r="H242" s="1" t="s">
        <v>459</v>
      </c>
      <c r="I242" s="24" t="s">
        <v>59</v>
      </c>
      <c r="J242" s="25">
        <v>71209.0</v>
      </c>
      <c r="K242" s="26">
        <v>0.1673611111111111</v>
      </c>
      <c r="L242" s="1" t="s">
        <v>437</v>
      </c>
      <c r="M242" s="1">
        <f t="shared" si="14"/>
        <v>4</v>
      </c>
      <c r="N242" s="1">
        <f t="shared" si="15"/>
        <v>1</v>
      </c>
      <c r="O242" s="1" t="str">
        <f t="shared" si="3"/>
        <v>41</v>
      </c>
      <c r="P242" s="1" t="str">
        <f t="shared" si="4"/>
        <v>WIN</v>
      </c>
      <c r="Q242" s="1">
        <f t="shared" si="5"/>
        <v>1</v>
      </c>
    </row>
    <row r="243" ht="15.75" customHeight="1">
      <c r="A243" s="1">
        <v>14.0</v>
      </c>
      <c r="B243" s="18" t="s">
        <v>460</v>
      </c>
      <c r="C243" s="10" t="s">
        <v>32</v>
      </c>
      <c r="D243" s="21">
        <v>43792.0</v>
      </c>
      <c r="E243" s="22">
        <v>0.5416666666666666</v>
      </c>
      <c r="F243" s="23" t="s">
        <v>19</v>
      </c>
      <c r="G243" s="13" t="s">
        <v>30</v>
      </c>
      <c r="H243" s="1" t="s">
        <v>461</v>
      </c>
      <c r="I243" s="24" t="s">
        <v>21</v>
      </c>
      <c r="J243" s="25">
        <v>12110.0</v>
      </c>
      <c r="K243" s="26">
        <v>0.043055555555555555</v>
      </c>
      <c r="L243" s="1" t="s">
        <v>437</v>
      </c>
      <c r="M243" s="1">
        <f t="shared" si="14"/>
        <v>1</v>
      </c>
      <c r="N243" s="1">
        <f t="shared" si="15"/>
        <v>2</v>
      </c>
      <c r="O243" s="1" t="str">
        <f t="shared" si="3"/>
        <v>12</v>
      </c>
      <c r="P243" s="1" t="str">
        <f t="shared" si="4"/>
        <v>WIN</v>
      </c>
      <c r="Q243" s="1">
        <f t="shared" si="5"/>
        <v>1</v>
      </c>
    </row>
    <row r="244" ht="15.75" customHeight="1">
      <c r="A244" s="1">
        <v>15.0</v>
      </c>
      <c r="B244" s="18" t="s">
        <v>462</v>
      </c>
      <c r="C244" s="10" t="s">
        <v>29</v>
      </c>
      <c r="D244" s="19">
        <v>43800.0</v>
      </c>
      <c r="E244" s="22">
        <v>0.875</v>
      </c>
      <c r="F244" s="23" t="s">
        <v>19</v>
      </c>
      <c r="G244" s="13" t="s">
        <v>30</v>
      </c>
      <c r="H244" s="1" t="s">
        <v>227</v>
      </c>
      <c r="I244" s="24" t="s">
        <v>59</v>
      </c>
      <c r="J244" s="25">
        <v>64226.0</v>
      </c>
      <c r="K244" s="26">
        <v>6.944444444444445E-4</v>
      </c>
      <c r="L244" s="1" t="s">
        <v>437</v>
      </c>
      <c r="M244" s="1">
        <f t="shared" si="14"/>
        <v>0</v>
      </c>
      <c r="N244" s="1">
        <f t="shared" si="15"/>
        <v>1</v>
      </c>
      <c r="O244" s="1" t="str">
        <f t="shared" si="3"/>
        <v>01</v>
      </c>
      <c r="P244" s="1" t="str">
        <f t="shared" si="4"/>
        <v>WIN</v>
      </c>
      <c r="Q244" s="1">
        <f t="shared" si="5"/>
        <v>1</v>
      </c>
    </row>
    <row r="245" ht="15.75" customHeight="1">
      <c r="A245" s="1">
        <v>16.0</v>
      </c>
      <c r="B245" s="18" t="s">
        <v>463</v>
      </c>
      <c r="C245" s="10" t="s">
        <v>32</v>
      </c>
      <c r="D245" s="19">
        <v>43806.0</v>
      </c>
      <c r="E245" s="22">
        <v>0.875</v>
      </c>
      <c r="F245" s="23" t="s">
        <v>24</v>
      </c>
      <c r="G245" s="13" t="s">
        <v>30</v>
      </c>
      <c r="H245" s="1" t="s">
        <v>464</v>
      </c>
      <c r="I245" s="24" t="s">
        <v>59</v>
      </c>
      <c r="J245" s="25">
        <v>71072.0</v>
      </c>
      <c r="K245" s="26">
        <v>0.20972222222222223</v>
      </c>
      <c r="L245" s="1" t="s">
        <v>437</v>
      </c>
      <c r="M245" s="1">
        <f t="shared" si="14"/>
        <v>5</v>
      </c>
      <c r="N245" s="1">
        <f t="shared" si="15"/>
        <v>2</v>
      </c>
      <c r="O245" s="1" t="str">
        <f t="shared" si="3"/>
        <v>52</v>
      </c>
      <c r="P245" s="1" t="str">
        <f t="shared" si="4"/>
        <v>WIN</v>
      </c>
      <c r="Q245" s="1">
        <f t="shared" si="5"/>
        <v>1</v>
      </c>
    </row>
    <row r="246" ht="15.75" customHeight="1">
      <c r="A246" s="1">
        <v>17.0</v>
      </c>
      <c r="B246" s="18" t="s">
        <v>465</v>
      </c>
      <c r="C246" s="10" t="s">
        <v>32</v>
      </c>
      <c r="D246" s="21">
        <v>43813.0</v>
      </c>
      <c r="E246" s="22">
        <v>0.6666666666666666</v>
      </c>
      <c r="F246" s="23" t="s">
        <v>19</v>
      </c>
      <c r="G246" s="13" t="s">
        <v>30</v>
      </c>
      <c r="H246" s="1" t="s">
        <v>198</v>
      </c>
      <c r="I246" s="24" t="s">
        <v>59</v>
      </c>
      <c r="J246" s="25">
        <v>36639.0</v>
      </c>
      <c r="K246" s="26">
        <v>0.08472222222222223</v>
      </c>
      <c r="L246" s="1" t="s">
        <v>437</v>
      </c>
      <c r="M246" s="1">
        <f t="shared" si="14"/>
        <v>2</v>
      </c>
      <c r="N246" s="1">
        <f t="shared" si="15"/>
        <v>2</v>
      </c>
      <c r="O246" s="1" t="str">
        <f t="shared" si="3"/>
        <v>22</v>
      </c>
      <c r="P246" s="1" t="str">
        <f t="shared" si="4"/>
        <v>DRAW</v>
      </c>
      <c r="Q246" s="1">
        <f t="shared" si="5"/>
        <v>0</v>
      </c>
    </row>
    <row r="247" ht="15.75" customHeight="1">
      <c r="A247" s="1">
        <v>18.0</v>
      </c>
      <c r="B247" s="18" t="s">
        <v>466</v>
      </c>
      <c r="C247" s="10" t="s">
        <v>32</v>
      </c>
      <c r="D247" s="21">
        <v>43820.0</v>
      </c>
      <c r="E247" s="22">
        <v>0.6666666666666666</v>
      </c>
      <c r="F247" s="23" t="s">
        <v>24</v>
      </c>
      <c r="G247" s="13" t="s">
        <v>30</v>
      </c>
      <c r="H247" s="1" t="s">
        <v>200</v>
      </c>
      <c r="I247" s="24" t="s">
        <v>59</v>
      </c>
      <c r="J247" s="25">
        <v>63054.0</v>
      </c>
      <c r="K247" s="26">
        <v>0.1673611111111111</v>
      </c>
      <c r="L247" s="1" t="s">
        <v>437</v>
      </c>
      <c r="M247" s="1">
        <f t="shared" si="14"/>
        <v>4</v>
      </c>
      <c r="N247" s="1">
        <f t="shared" si="15"/>
        <v>1</v>
      </c>
      <c r="O247" s="1" t="str">
        <f t="shared" si="3"/>
        <v>41</v>
      </c>
      <c r="P247" s="1" t="str">
        <f t="shared" si="4"/>
        <v>WIN</v>
      </c>
      <c r="Q247" s="1">
        <f t="shared" si="5"/>
        <v>1</v>
      </c>
    </row>
    <row r="248" ht="15.75" customHeight="1">
      <c r="A248" s="1">
        <v>19.0</v>
      </c>
      <c r="B248" s="18" t="s">
        <v>467</v>
      </c>
      <c r="C248" s="10" t="s">
        <v>32</v>
      </c>
      <c r="D248" s="19">
        <v>43834.0</v>
      </c>
      <c r="E248" s="22">
        <v>0.875</v>
      </c>
      <c r="F248" s="23" t="s">
        <v>19</v>
      </c>
      <c r="G248" s="13" t="s">
        <v>30</v>
      </c>
      <c r="H248" s="1" t="s">
        <v>468</v>
      </c>
      <c r="I248" s="24" t="s">
        <v>59</v>
      </c>
      <c r="J248" s="25">
        <v>33562.0</v>
      </c>
      <c r="K248" s="26">
        <v>0.08472222222222223</v>
      </c>
      <c r="L248" s="1" t="s">
        <v>437</v>
      </c>
      <c r="M248" s="1">
        <f t="shared" si="14"/>
        <v>2</v>
      </c>
      <c r="N248" s="1">
        <f t="shared" si="15"/>
        <v>2</v>
      </c>
      <c r="O248" s="1" t="str">
        <f t="shared" si="3"/>
        <v>22</v>
      </c>
      <c r="P248" s="1" t="str">
        <f t="shared" si="4"/>
        <v>DRAW</v>
      </c>
      <c r="Q248" s="1">
        <f t="shared" si="5"/>
        <v>0</v>
      </c>
    </row>
    <row r="249" ht="15.75" customHeight="1">
      <c r="A249" s="1">
        <v>20.0</v>
      </c>
      <c r="B249" s="18" t="s">
        <v>469</v>
      </c>
      <c r="C249" s="10" t="s">
        <v>29</v>
      </c>
      <c r="D249" s="19">
        <v>43849.0</v>
      </c>
      <c r="E249" s="22">
        <v>0.875</v>
      </c>
      <c r="F249" s="23" t="s">
        <v>24</v>
      </c>
      <c r="G249" s="13" t="s">
        <v>30</v>
      </c>
      <c r="H249" s="1" t="s">
        <v>470</v>
      </c>
      <c r="I249" s="24" t="s">
        <v>59</v>
      </c>
      <c r="J249" s="25">
        <v>65444.0</v>
      </c>
      <c r="K249" s="26">
        <v>0.041666666666666664</v>
      </c>
      <c r="L249" s="1" t="s">
        <v>437</v>
      </c>
      <c r="M249" s="1">
        <f t="shared" si="14"/>
        <v>1</v>
      </c>
      <c r="N249" s="1">
        <f t="shared" si="15"/>
        <v>0</v>
      </c>
      <c r="O249" s="1" t="str">
        <f t="shared" si="3"/>
        <v>10</v>
      </c>
      <c r="P249" s="1" t="str">
        <f t="shared" si="4"/>
        <v>WIN</v>
      </c>
      <c r="Q249" s="1">
        <f t="shared" si="5"/>
        <v>1</v>
      </c>
    </row>
    <row r="250" ht="15.75" customHeight="1">
      <c r="A250" s="1">
        <v>21.0</v>
      </c>
      <c r="B250" s="18" t="s">
        <v>471</v>
      </c>
      <c r="C250" s="10" t="s">
        <v>32</v>
      </c>
      <c r="D250" s="19">
        <v>43855.0</v>
      </c>
      <c r="E250" s="22">
        <v>0.6666666666666666</v>
      </c>
      <c r="F250" s="23" t="s">
        <v>19</v>
      </c>
      <c r="G250" s="13" t="s">
        <v>30</v>
      </c>
      <c r="H250" s="1" t="s">
        <v>472</v>
      </c>
      <c r="I250" s="24" t="s">
        <v>418</v>
      </c>
      <c r="J250" s="25">
        <v>45882.0</v>
      </c>
      <c r="K250" s="26">
        <v>0.08333333333333333</v>
      </c>
      <c r="L250" s="1" t="s">
        <v>437</v>
      </c>
      <c r="M250" s="1">
        <f t="shared" si="14"/>
        <v>2</v>
      </c>
      <c r="N250" s="1">
        <f t="shared" si="15"/>
        <v>0</v>
      </c>
      <c r="O250" s="1" t="str">
        <f t="shared" si="3"/>
        <v>20</v>
      </c>
      <c r="P250" s="1" t="str">
        <f t="shared" si="4"/>
        <v>LOSS</v>
      </c>
      <c r="Q250" s="1">
        <f t="shared" si="5"/>
        <v>-1</v>
      </c>
    </row>
    <row r="251" ht="15.75" customHeight="1">
      <c r="A251" s="1">
        <v>22.0</v>
      </c>
      <c r="B251" s="18" t="s">
        <v>473</v>
      </c>
      <c r="C251" s="10" t="s">
        <v>29</v>
      </c>
      <c r="D251" s="19">
        <v>43863.0</v>
      </c>
      <c r="E251" s="22">
        <v>0.875</v>
      </c>
      <c r="F251" s="23" t="s">
        <v>24</v>
      </c>
      <c r="G251" s="13" t="s">
        <v>33</v>
      </c>
      <c r="H251" s="1" t="s">
        <v>474</v>
      </c>
      <c r="I251" s="24" t="s">
        <v>59</v>
      </c>
      <c r="J251" s="25">
        <v>60295.0</v>
      </c>
      <c r="K251" s="26">
        <v>0.08402777777777778</v>
      </c>
      <c r="L251" s="1" t="s">
        <v>437</v>
      </c>
      <c r="M251" s="1">
        <f t="shared" si="14"/>
        <v>2</v>
      </c>
      <c r="N251" s="1">
        <f t="shared" si="15"/>
        <v>1</v>
      </c>
      <c r="O251" s="1" t="str">
        <f t="shared" si="3"/>
        <v>21</v>
      </c>
      <c r="P251" s="1" t="str">
        <f t="shared" si="4"/>
        <v>WIN</v>
      </c>
      <c r="Q251" s="1">
        <f t="shared" si="5"/>
        <v>1</v>
      </c>
    </row>
    <row r="252" ht="15.75" customHeight="1">
      <c r="A252" s="1">
        <v>23.0</v>
      </c>
      <c r="B252" s="18" t="s">
        <v>475</v>
      </c>
      <c r="C252" s="10" t="s">
        <v>29</v>
      </c>
      <c r="D252" s="19">
        <v>43870.0</v>
      </c>
      <c r="E252" s="22">
        <v>0.875</v>
      </c>
      <c r="F252" s="23" t="s">
        <v>19</v>
      </c>
      <c r="G252" s="13" t="s">
        <v>33</v>
      </c>
      <c r="H252" s="1" t="s">
        <v>476</v>
      </c>
      <c r="I252" s="24" t="s">
        <v>477</v>
      </c>
      <c r="J252" s="25">
        <v>54526.0</v>
      </c>
      <c r="K252" s="26">
        <v>0.08541666666666667</v>
      </c>
      <c r="L252" s="1" t="s">
        <v>437</v>
      </c>
      <c r="M252" s="1">
        <f t="shared" si="14"/>
        <v>2</v>
      </c>
      <c r="N252" s="1">
        <f t="shared" si="15"/>
        <v>3</v>
      </c>
      <c r="O252" s="1" t="str">
        <f t="shared" si="3"/>
        <v>23</v>
      </c>
      <c r="P252" s="1" t="str">
        <f t="shared" si="4"/>
        <v>WIN</v>
      </c>
      <c r="Q252" s="1">
        <f t="shared" si="5"/>
        <v>1</v>
      </c>
    </row>
    <row r="253" ht="15.75" customHeight="1">
      <c r="A253" s="1">
        <v>24.0</v>
      </c>
      <c r="B253" s="18" t="s">
        <v>478</v>
      </c>
      <c r="C253" s="10" t="s">
        <v>32</v>
      </c>
      <c r="D253" s="19">
        <v>43876.0</v>
      </c>
      <c r="E253" s="22">
        <v>0.6666666666666666</v>
      </c>
      <c r="F253" s="23" t="s">
        <v>24</v>
      </c>
      <c r="G253" s="13" t="s">
        <v>33</v>
      </c>
      <c r="H253" s="1" t="s">
        <v>479</v>
      </c>
      <c r="I253" s="24" t="s">
        <v>59</v>
      </c>
      <c r="J253" s="25">
        <v>89409.0</v>
      </c>
      <c r="K253" s="26">
        <v>0.08402777777777778</v>
      </c>
      <c r="L253" s="1" t="s">
        <v>437</v>
      </c>
      <c r="M253" s="1">
        <f t="shared" si="14"/>
        <v>2</v>
      </c>
      <c r="N253" s="1">
        <f t="shared" si="15"/>
        <v>1</v>
      </c>
      <c r="O253" s="1" t="str">
        <f t="shared" si="3"/>
        <v>21</v>
      </c>
      <c r="P253" s="1" t="str">
        <f t="shared" si="4"/>
        <v>WIN</v>
      </c>
      <c r="Q253" s="1">
        <f t="shared" si="5"/>
        <v>1</v>
      </c>
    </row>
    <row r="254" ht="15.75" customHeight="1">
      <c r="A254" s="1">
        <v>25.0</v>
      </c>
      <c r="B254" s="18" t="s">
        <v>480</v>
      </c>
      <c r="C254" s="10" t="s">
        <v>32</v>
      </c>
      <c r="D254" s="19">
        <v>43883.0</v>
      </c>
      <c r="E254" s="22">
        <v>0.6666666666666666</v>
      </c>
      <c r="F254" s="23" t="s">
        <v>24</v>
      </c>
      <c r="G254" s="13" t="s">
        <v>33</v>
      </c>
      <c r="H254" s="1" t="s">
        <v>481</v>
      </c>
      <c r="I254" s="24" t="s">
        <v>477</v>
      </c>
      <c r="J254" s="25">
        <v>66970.0</v>
      </c>
      <c r="K254" s="26">
        <v>0.20833333333333334</v>
      </c>
      <c r="L254" s="1" t="s">
        <v>437</v>
      </c>
      <c r="M254" s="1">
        <f t="shared" si="14"/>
        <v>5</v>
      </c>
      <c r="N254" s="1">
        <f t="shared" si="15"/>
        <v>0</v>
      </c>
      <c r="O254" s="1" t="str">
        <f t="shared" si="3"/>
        <v>50</v>
      </c>
      <c r="P254" s="1" t="str">
        <f t="shared" si="4"/>
        <v>WIN</v>
      </c>
      <c r="Q254" s="1">
        <f t="shared" si="5"/>
        <v>1</v>
      </c>
    </row>
    <row r="255" ht="15.75" customHeight="1">
      <c r="A255" s="1">
        <v>26.0</v>
      </c>
      <c r="B255" s="18" t="s">
        <v>482</v>
      </c>
      <c r="C255" s="10" t="s">
        <v>29</v>
      </c>
      <c r="D255" s="19">
        <v>43891.0</v>
      </c>
      <c r="E255" s="22">
        <v>0.875</v>
      </c>
      <c r="F255" s="23" t="s">
        <v>19</v>
      </c>
      <c r="G255" s="13" t="s">
        <v>30</v>
      </c>
      <c r="H255" s="1" t="s">
        <v>73</v>
      </c>
      <c r="I255" s="24" t="s">
        <v>483</v>
      </c>
      <c r="J255" s="25">
        <v>78237.0</v>
      </c>
      <c r="K255" s="26">
        <v>0.08333333333333333</v>
      </c>
      <c r="L255" s="1" t="s">
        <v>437</v>
      </c>
      <c r="M255" s="1">
        <f t="shared" si="14"/>
        <v>2</v>
      </c>
      <c r="N255" s="1">
        <f t="shared" si="15"/>
        <v>0</v>
      </c>
      <c r="O255" s="1" t="str">
        <f t="shared" si="3"/>
        <v>20</v>
      </c>
      <c r="P255" s="1" t="str">
        <f t="shared" si="4"/>
        <v>LOSS</v>
      </c>
      <c r="Q255" s="1">
        <f t="shared" si="5"/>
        <v>-1</v>
      </c>
    </row>
    <row r="256" ht="15.75" customHeight="1">
      <c r="A256" s="1">
        <v>27.0</v>
      </c>
      <c r="B256" s="18" t="s">
        <v>484</v>
      </c>
      <c r="C256" s="10" t="s">
        <v>32</v>
      </c>
      <c r="D256" s="19">
        <v>43897.0</v>
      </c>
      <c r="E256" s="22">
        <v>0.7708333333333334</v>
      </c>
      <c r="F256" s="23" t="s">
        <v>24</v>
      </c>
      <c r="G256" s="13" t="s">
        <v>33</v>
      </c>
      <c r="H256" s="1" t="s">
        <v>326</v>
      </c>
      <c r="I256" s="24" t="s">
        <v>59</v>
      </c>
      <c r="J256" s="25">
        <v>77035.0</v>
      </c>
      <c r="K256" s="26">
        <v>0.041666666666666664</v>
      </c>
      <c r="L256" s="1" t="s">
        <v>437</v>
      </c>
      <c r="M256" s="1">
        <f t="shared" si="14"/>
        <v>1</v>
      </c>
      <c r="N256" s="1">
        <f t="shared" si="15"/>
        <v>0</v>
      </c>
      <c r="O256" s="1" t="str">
        <f t="shared" si="3"/>
        <v>10</v>
      </c>
      <c r="P256" s="1" t="str">
        <f t="shared" si="4"/>
        <v>WIN</v>
      </c>
      <c r="Q256" s="1">
        <f t="shared" si="5"/>
        <v>1</v>
      </c>
    </row>
    <row r="257" ht="15.75" customHeight="1">
      <c r="A257" s="24" t="s">
        <v>485</v>
      </c>
      <c r="B257" s="18" t="s">
        <v>486</v>
      </c>
      <c r="C257" s="10" t="s">
        <v>26</v>
      </c>
      <c r="D257" s="19">
        <v>43725.0</v>
      </c>
      <c r="E257" s="22">
        <v>0.875</v>
      </c>
      <c r="F257" s="23" t="s">
        <v>19</v>
      </c>
      <c r="G257" s="13"/>
      <c r="H257" s="1" t="s">
        <v>138</v>
      </c>
      <c r="I257" s="24" t="s">
        <v>59</v>
      </c>
      <c r="J257" s="27">
        <v>66099.0</v>
      </c>
      <c r="K257" s="26">
        <v>0.0</v>
      </c>
      <c r="L257" s="1" t="s">
        <v>437</v>
      </c>
      <c r="M257" s="1">
        <f t="shared" si="14"/>
        <v>0</v>
      </c>
      <c r="N257" s="1">
        <f t="shared" si="15"/>
        <v>0</v>
      </c>
      <c r="O257" s="1" t="str">
        <f t="shared" si="3"/>
        <v>00</v>
      </c>
      <c r="P257" s="1" t="str">
        <f t="shared" si="4"/>
        <v>DRAW</v>
      </c>
      <c r="Q257" s="1">
        <f t="shared" si="5"/>
        <v>0</v>
      </c>
    </row>
    <row r="258" ht="15.75" customHeight="1">
      <c r="A258" s="24" t="s">
        <v>485</v>
      </c>
      <c r="B258" s="18" t="s">
        <v>487</v>
      </c>
      <c r="C258" s="10" t="s">
        <v>23</v>
      </c>
      <c r="D258" s="19">
        <v>43740.0</v>
      </c>
      <c r="E258" s="22">
        <v>0.875</v>
      </c>
      <c r="F258" s="23" t="s">
        <v>24</v>
      </c>
      <c r="G258" s="13"/>
      <c r="H258" s="1" t="s">
        <v>153</v>
      </c>
      <c r="I258" s="24" t="s">
        <v>59</v>
      </c>
      <c r="J258" s="25">
        <v>86141.0</v>
      </c>
      <c r="K258" s="26">
        <v>0.08402777777777778</v>
      </c>
      <c r="L258" s="1" t="s">
        <v>437</v>
      </c>
      <c r="M258" s="1">
        <f t="shared" si="14"/>
        <v>2</v>
      </c>
      <c r="N258" s="1">
        <f t="shared" si="15"/>
        <v>1</v>
      </c>
      <c r="O258" s="1" t="str">
        <f t="shared" si="3"/>
        <v>21</v>
      </c>
      <c r="P258" s="1" t="str">
        <f t="shared" si="4"/>
        <v>WIN</v>
      </c>
      <c r="Q258" s="1">
        <f t="shared" si="5"/>
        <v>1</v>
      </c>
    </row>
    <row r="259" ht="15.75" customHeight="1">
      <c r="A259" s="24" t="s">
        <v>485</v>
      </c>
      <c r="B259" s="18" t="s">
        <v>488</v>
      </c>
      <c r="C259" s="10" t="s">
        <v>23</v>
      </c>
      <c r="D259" s="21">
        <v>43761.0</v>
      </c>
      <c r="E259" s="22">
        <v>0.875</v>
      </c>
      <c r="F259" s="23" t="s">
        <v>19</v>
      </c>
      <c r="G259" s="13"/>
      <c r="H259" s="1" t="s">
        <v>489</v>
      </c>
      <c r="I259" s="24" t="s">
        <v>59</v>
      </c>
      <c r="J259" s="25">
        <v>19170.0</v>
      </c>
      <c r="K259" s="26">
        <v>0.043055555555555555</v>
      </c>
      <c r="L259" s="1" t="s">
        <v>437</v>
      </c>
      <c r="M259" s="1">
        <f t="shared" si="14"/>
        <v>1</v>
      </c>
      <c r="N259" s="1">
        <f t="shared" si="15"/>
        <v>2</v>
      </c>
      <c r="O259" s="1" t="str">
        <f t="shared" si="3"/>
        <v>12</v>
      </c>
      <c r="P259" s="1" t="str">
        <f t="shared" si="4"/>
        <v>WIN</v>
      </c>
      <c r="Q259" s="1">
        <f t="shared" si="5"/>
        <v>1</v>
      </c>
    </row>
    <row r="260" ht="15.75" customHeight="1">
      <c r="A260" s="24" t="s">
        <v>485</v>
      </c>
      <c r="B260" s="18" t="s">
        <v>490</v>
      </c>
      <c r="C260" s="10" t="s">
        <v>26</v>
      </c>
      <c r="D260" s="19">
        <v>43774.0</v>
      </c>
      <c r="E260" s="22">
        <v>0.7881944444444444</v>
      </c>
      <c r="F260" s="23" t="s">
        <v>24</v>
      </c>
      <c r="G260" s="13"/>
      <c r="H260" s="1" t="s">
        <v>489</v>
      </c>
      <c r="I260" s="24" t="s">
        <v>59</v>
      </c>
      <c r="J260" s="25">
        <v>67023.0</v>
      </c>
      <c r="K260" s="26">
        <v>0.0</v>
      </c>
      <c r="L260" s="1" t="s">
        <v>437</v>
      </c>
      <c r="M260" s="1">
        <f t="shared" si="14"/>
        <v>0</v>
      </c>
      <c r="N260" s="1">
        <f t="shared" si="15"/>
        <v>0</v>
      </c>
      <c r="O260" s="1" t="str">
        <f t="shared" si="3"/>
        <v>00</v>
      </c>
      <c r="P260" s="1" t="str">
        <f t="shared" si="4"/>
        <v>DRAW</v>
      </c>
      <c r="Q260" s="1">
        <f t="shared" si="5"/>
        <v>0</v>
      </c>
    </row>
    <row r="261" ht="15.75" customHeight="1">
      <c r="A261" s="24" t="s">
        <v>485</v>
      </c>
      <c r="B261" s="18" t="s">
        <v>491</v>
      </c>
      <c r="C261" s="10" t="s">
        <v>23</v>
      </c>
      <c r="D261" s="21">
        <v>43796.0</v>
      </c>
      <c r="E261" s="22">
        <v>0.875</v>
      </c>
      <c r="F261" s="23" t="s">
        <v>24</v>
      </c>
      <c r="G261" s="13"/>
      <c r="H261" s="1" t="s">
        <v>138</v>
      </c>
      <c r="I261" s="24" t="s">
        <v>59</v>
      </c>
      <c r="J261" s="25">
        <v>90071.0</v>
      </c>
      <c r="K261" s="26">
        <v>0.12569444444444444</v>
      </c>
      <c r="L261" s="1" t="s">
        <v>437</v>
      </c>
      <c r="M261" s="1">
        <f t="shared" si="14"/>
        <v>3</v>
      </c>
      <c r="N261" s="1">
        <f t="shared" si="15"/>
        <v>1</v>
      </c>
      <c r="O261" s="1" t="str">
        <f t="shared" si="3"/>
        <v>31</v>
      </c>
      <c r="P261" s="1" t="str">
        <f t="shared" si="4"/>
        <v>WIN</v>
      </c>
      <c r="Q261" s="1">
        <f t="shared" si="5"/>
        <v>1</v>
      </c>
    </row>
    <row r="262" ht="15.75" customHeight="1">
      <c r="A262" s="24" t="s">
        <v>485</v>
      </c>
      <c r="B262" s="18" t="s">
        <v>492</v>
      </c>
      <c r="C262" s="10" t="s">
        <v>26</v>
      </c>
      <c r="D262" s="21">
        <v>43809.0</v>
      </c>
      <c r="E262" s="22">
        <v>0.875</v>
      </c>
      <c r="F262" s="23" t="s">
        <v>19</v>
      </c>
      <c r="G262" s="13"/>
      <c r="H262" s="1" t="s">
        <v>153</v>
      </c>
      <c r="I262" s="24" t="s">
        <v>418</v>
      </c>
      <c r="J262" s="25">
        <v>71818.0</v>
      </c>
      <c r="K262" s="26">
        <v>0.043055555555555555</v>
      </c>
      <c r="L262" s="1" t="s">
        <v>437</v>
      </c>
      <c r="M262" s="1">
        <f t="shared" si="14"/>
        <v>1</v>
      </c>
      <c r="N262" s="1">
        <f t="shared" si="15"/>
        <v>2</v>
      </c>
      <c r="O262" s="1" t="str">
        <f t="shared" si="3"/>
        <v>12</v>
      </c>
      <c r="P262" s="1" t="str">
        <f t="shared" si="4"/>
        <v>WIN</v>
      </c>
      <c r="Q262" s="1">
        <f t="shared" si="5"/>
        <v>1</v>
      </c>
    </row>
    <row r="263" ht="15.75" customHeight="1">
      <c r="A263" s="24" t="s">
        <v>143</v>
      </c>
      <c r="B263" s="18" t="s">
        <v>493</v>
      </c>
      <c r="C263" s="10" t="s">
        <v>26</v>
      </c>
      <c r="D263" s="19">
        <v>43886.0</v>
      </c>
      <c r="E263" s="22">
        <v>0.875</v>
      </c>
      <c r="F263" s="23" t="s">
        <v>19</v>
      </c>
      <c r="G263" s="13"/>
      <c r="H263" s="1" t="s">
        <v>256</v>
      </c>
      <c r="I263" s="24" t="s">
        <v>59</v>
      </c>
      <c r="J263" s="25">
        <v>44388.0</v>
      </c>
      <c r="K263" s="26">
        <v>0.04236111111111111</v>
      </c>
      <c r="L263" s="1" t="s">
        <v>437</v>
      </c>
      <c r="M263" s="1">
        <f t="shared" si="14"/>
        <v>1</v>
      </c>
      <c r="N263" s="1">
        <f t="shared" si="15"/>
        <v>1</v>
      </c>
      <c r="O263" s="1" t="str">
        <f t="shared" si="3"/>
        <v>11</v>
      </c>
      <c r="P263" s="1" t="str">
        <f t="shared" si="4"/>
        <v>DRAW</v>
      </c>
      <c r="Q263" s="1">
        <f t="shared" si="5"/>
        <v>0</v>
      </c>
    </row>
    <row r="264" ht="15.75" customHeight="1">
      <c r="A264" s="24" t="s">
        <v>157</v>
      </c>
      <c r="B264" s="18" t="s">
        <v>494</v>
      </c>
      <c r="C264" s="10" t="s">
        <v>23</v>
      </c>
      <c r="D264" s="19">
        <v>43852.0</v>
      </c>
      <c r="E264" s="22">
        <v>0.7916666666666666</v>
      </c>
      <c r="F264" s="23" t="s">
        <v>19</v>
      </c>
      <c r="G264" s="13"/>
      <c r="H264" s="1" t="s">
        <v>495</v>
      </c>
      <c r="I264" s="24" t="s">
        <v>418</v>
      </c>
      <c r="J264" s="25">
        <v>6445.0</v>
      </c>
      <c r="K264" s="26">
        <v>0.043055555555555555</v>
      </c>
      <c r="L264" s="1" t="s">
        <v>437</v>
      </c>
      <c r="M264" s="1">
        <f t="shared" si="14"/>
        <v>1</v>
      </c>
      <c r="N264" s="1">
        <f t="shared" si="15"/>
        <v>2</v>
      </c>
      <c r="O264" s="1" t="str">
        <f t="shared" si="3"/>
        <v>12</v>
      </c>
      <c r="P264" s="1" t="str">
        <f t="shared" si="4"/>
        <v>WIN</v>
      </c>
      <c r="Q264" s="1">
        <f t="shared" si="5"/>
        <v>1</v>
      </c>
    </row>
    <row r="265" ht="15.75" customHeight="1">
      <c r="A265" s="24" t="s">
        <v>160</v>
      </c>
      <c r="B265" s="18" t="s">
        <v>496</v>
      </c>
      <c r="C265" s="10" t="s">
        <v>18</v>
      </c>
      <c r="D265" s="19">
        <v>43860.0</v>
      </c>
      <c r="E265" s="22">
        <v>0.7916666666666666</v>
      </c>
      <c r="F265" s="23" t="s">
        <v>24</v>
      </c>
      <c r="G265" s="13"/>
      <c r="H265" s="1" t="s">
        <v>497</v>
      </c>
      <c r="I265" s="24" t="s">
        <v>59</v>
      </c>
      <c r="J265" s="25">
        <v>43216.0</v>
      </c>
      <c r="K265" s="26">
        <v>0.20833333333333334</v>
      </c>
      <c r="L265" s="1" t="s">
        <v>437</v>
      </c>
      <c r="M265" s="1">
        <f t="shared" si="14"/>
        <v>5</v>
      </c>
      <c r="N265" s="1">
        <f t="shared" si="15"/>
        <v>0</v>
      </c>
      <c r="O265" s="1" t="str">
        <f t="shared" si="3"/>
        <v>50</v>
      </c>
      <c r="P265" s="1" t="str">
        <f t="shared" si="4"/>
        <v>WIN</v>
      </c>
      <c r="Q265" s="1">
        <f t="shared" si="5"/>
        <v>1</v>
      </c>
    </row>
    <row r="266" ht="15.75" customHeight="1">
      <c r="A266" s="24" t="s">
        <v>163</v>
      </c>
      <c r="B266" s="18" t="s">
        <v>498</v>
      </c>
      <c r="C266" s="10" t="s">
        <v>18</v>
      </c>
      <c r="D266" s="19">
        <v>43867.0</v>
      </c>
      <c r="E266" s="22">
        <v>0.875</v>
      </c>
      <c r="F266" s="23" t="s">
        <v>19</v>
      </c>
      <c r="G266" s="13"/>
      <c r="H266" s="1" t="s">
        <v>264</v>
      </c>
      <c r="I266" s="24" t="s">
        <v>59</v>
      </c>
      <c r="J266" s="25">
        <v>49154.0</v>
      </c>
      <c r="K266" s="26">
        <v>0.041666666666666664</v>
      </c>
      <c r="L266" s="1" t="s">
        <v>437</v>
      </c>
      <c r="M266" s="1">
        <f t="shared" si="14"/>
        <v>1</v>
      </c>
      <c r="N266" s="1">
        <f t="shared" si="15"/>
        <v>0</v>
      </c>
      <c r="O266" s="1" t="str">
        <f t="shared" si="3"/>
        <v>10</v>
      </c>
      <c r="P266" s="1" t="str">
        <f t="shared" si="4"/>
        <v>LOSS</v>
      </c>
      <c r="Q266" s="1">
        <f t="shared" si="5"/>
        <v>-1</v>
      </c>
    </row>
    <row r="267" ht="15.75" customHeight="1">
      <c r="A267" s="1">
        <v>1.0</v>
      </c>
      <c r="B267" s="18" t="s">
        <v>499</v>
      </c>
      <c r="C267" s="10" t="s">
        <v>32</v>
      </c>
      <c r="D267" s="19">
        <v>43330.0</v>
      </c>
      <c r="E267" s="22">
        <v>0.9270833333333334</v>
      </c>
      <c r="F267" s="23" t="s">
        <v>24</v>
      </c>
      <c r="G267" s="13" t="s">
        <v>30</v>
      </c>
      <c r="H267" s="1" t="s">
        <v>69</v>
      </c>
      <c r="I267" s="24" t="s">
        <v>59</v>
      </c>
      <c r="J267" s="25">
        <v>52356.0</v>
      </c>
      <c r="K267" s="26">
        <v>0.125</v>
      </c>
      <c r="L267" s="1" t="s">
        <v>500</v>
      </c>
      <c r="M267" s="1">
        <f t="shared" si="14"/>
        <v>3</v>
      </c>
      <c r="N267" s="1">
        <f t="shared" si="15"/>
        <v>0</v>
      </c>
      <c r="O267" s="1" t="str">
        <f t="shared" si="3"/>
        <v>30</v>
      </c>
      <c r="P267" s="1" t="str">
        <f t="shared" si="4"/>
        <v>WIN</v>
      </c>
      <c r="Q267" s="1">
        <f t="shared" si="5"/>
        <v>1</v>
      </c>
    </row>
    <row r="268" ht="15.75" customHeight="1">
      <c r="A268" s="1">
        <v>2.0</v>
      </c>
      <c r="B268" s="18" t="s">
        <v>501</v>
      </c>
      <c r="C268" s="10" t="s">
        <v>32</v>
      </c>
      <c r="D268" s="19">
        <v>43337.0</v>
      </c>
      <c r="E268" s="22">
        <v>0.9270833333333334</v>
      </c>
      <c r="F268" s="23" t="s">
        <v>19</v>
      </c>
      <c r="G268" s="13" t="s">
        <v>33</v>
      </c>
      <c r="H268" s="1" t="s">
        <v>502</v>
      </c>
      <c r="I268" s="24" t="s">
        <v>59</v>
      </c>
      <c r="J268" s="25">
        <v>22651.0</v>
      </c>
      <c r="K268" s="26">
        <v>6.944444444444445E-4</v>
      </c>
      <c r="L268" s="1" t="s">
        <v>500</v>
      </c>
      <c r="M268" s="1">
        <f t="shared" si="14"/>
        <v>0</v>
      </c>
      <c r="N268" s="1">
        <f t="shared" si="15"/>
        <v>1</v>
      </c>
      <c r="O268" s="1" t="str">
        <f t="shared" si="3"/>
        <v>01</v>
      </c>
      <c r="P268" s="1" t="str">
        <f t="shared" si="4"/>
        <v>WIN</v>
      </c>
      <c r="Q268" s="1">
        <f t="shared" si="5"/>
        <v>1</v>
      </c>
    </row>
    <row r="269" ht="15.75" customHeight="1">
      <c r="A269" s="1">
        <v>3.0</v>
      </c>
      <c r="B269" s="18" t="s">
        <v>503</v>
      </c>
      <c r="C269" s="10" t="s">
        <v>29</v>
      </c>
      <c r="D269" s="19">
        <v>43345.0</v>
      </c>
      <c r="E269" s="22">
        <v>0.7708333333333334</v>
      </c>
      <c r="F269" s="23" t="s">
        <v>24</v>
      </c>
      <c r="G269" s="13" t="s">
        <v>33</v>
      </c>
      <c r="H269" s="1" t="s">
        <v>504</v>
      </c>
      <c r="I269" s="24" t="s">
        <v>59</v>
      </c>
      <c r="J269" s="25">
        <v>71892.0</v>
      </c>
      <c r="K269" s="26">
        <v>0.3347222222222222</v>
      </c>
      <c r="L269" s="1" t="s">
        <v>500</v>
      </c>
      <c r="M269" s="1">
        <f t="shared" si="14"/>
        <v>8</v>
      </c>
      <c r="N269" s="1">
        <f t="shared" si="15"/>
        <v>2</v>
      </c>
      <c r="O269" s="1" t="str">
        <f t="shared" si="3"/>
        <v>82</v>
      </c>
      <c r="P269" s="1" t="str">
        <f t="shared" si="4"/>
        <v>WIN</v>
      </c>
      <c r="Q269" s="1">
        <f t="shared" si="5"/>
        <v>1</v>
      </c>
    </row>
    <row r="270" ht="15.75" customHeight="1">
      <c r="A270" s="1">
        <v>4.0</v>
      </c>
      <c r="B270" s="18" t="s">
        <v>505</v>
      </c>
      <c r="C270" s="10" t="s">
        <v>32</v>
      </c>
      <c r="D270" s="19">
        <v>43358.0</v>
      </c>
      <c r="E270" s="22">
        <v>0.6770833333333334</v>
      </c>
      <c r="F270" s="23" t="s">
        <v>19</v>
      </c>
      <c r="G270" s="13" t="s">
        <v>30</v>
      </c>
      <c r="H270" s="1" t="s">
        <v>506</v>
      </c>
      <c r="I270" s="24" t="s">
        <v>59</v>
      </c>
      <c r="J270" s="25">
        <v>26756.0</v>
      </c>
      <c r="K270" s="26">
        <v>0.043055555555555555</v>
      </c>
      <c r="L270" s="1" t="s">
        <v>500</v>
      </c>
      <c r="M270" s="1">
        <f t="shared" si="14"/>
        <v>1</v>
      </c>
      <c r="N270" s="1">
        <f t="shared" si="15"/>
        <v>2</v>
      </c>
      <c r="O270" s="1" t="str">
        <f t="shared" si="3"/>
        <v>12</v>
      </c>
      <c r="P270" s="1" t="str">
        <f t="shared" si="4"/>
        <v>WIN</v>
      </c>
      <c r="Q270" s="1">
        <f t="shared" si="5"/>
        <v>1</v>
      </c>
    </row>
    <row r="271" ht="15.75" customHeight="1">
      <c r="A271" s="1">
        <v>5.0</v>
      </c>
      <c r="B271" s="18" t="s">
        <v>507</v>
      </c>
      <c r="C271" s="10" t="s">
        <v>29</v>
      </c>
      <c r="D271" s="19">
        <v>43366.0</v>
      </c>
      <c r="E271" s="22">
        <v>0.8645833333333334</v>
      </c>
      <c r="F271" s="23" t="s">
        <v>24</v>
      </c>
      <c r="G271" s="13" t="s">
        <v>30</v>
      </c>
      <c r="H271" s="1" t="s">
        <v>237</v>
      </c>
      <c r="I271" s="24" t="s">
        <v>59</v>
      </c>
      <c r="J271" s="25">
        <v>76055.0</v>
      </c>
      <c r="K271" s="26">
        <v>0.08472222222222223</v>
      </c>
      <c r="L271" s="1" t="s">
        <v>500</v>
      </c>
      <c r="M271" s="1">
        <f t="shared" si="14"/>
        <v>2</v>
      </c>
      <c r="N271" s="1">
        <f t="shared" si="15"/>
        <v>2</v>
      </c>
      <c r="O271" s="1" t="str">
        <f t="shared" si="3"/>
        <v>22</v>
      </c>
      <c r="P271" s="1" t="str">
        <f t="shared" si="4"/>
        <v>DRAW</v>
      </c>
      <c r="Q271" s="1">
        <f t="shared" si="5"/>
        <v>0</v>
      </c>
    </row>
    <row r="272" ht="15.75" customHeight="1">
      <c r="A272" s="1">
        <v>6.0</v>
      </c>
      <c r="B272" s="18" t="s">
        <v>508</v>
      </c>
      <c r="C272" s="10" t="s">
        <v>23</v>
      </c>
      <c r="D272" s="19">
        <v>43369.0</v>
      </c>
      <c r="E272" s="22">
        <v>0.8333333333333334</v>
      </c>
      <c r="F272" s="23" t="s">
        <v>19</v>
      </c>
      <c r="G272" s="13" t="s">
        <v>30</v>
      </c>
      <c r="H272" s="1" t="s">
        <v>461</v>
      </c>
      <c r="I272" s="24" t="s">
        <v>59</v>
      </c>
      <c r="J272" s="25">
        <v>12231.0</v>
      </c>
      <c r="K272" s="26">
        <v>0.08402777777777778</v>
      </c>
      <c r="L272" s="1" t="s">
        <v>500</v>
      </c>
      <c r="M272" s="1">
        <f t="shared" si="14"/>
        <v>2</v>
      </c>
      <c r="N272" s="1">
        <f t="shared" si="15"/>
        <v>1</v>
      </c>
      <c r="O272" s="1" t="str">
        <f t="shared" si="3"/>
        <v>21</v>
      </c>
      <c r="P272" s="1" t="str">
        <f t="shared" si="4"/>
        <v>LOSS</v>
      </c>
      <c r="Q272" s="1">
        <f t="shared" si="5"/>
        <v>-1</v>
      </c>
    </row>
    <row r="273" ht="15.75" customHeight="1">
      <c r="A273" s="1">
        <v>7.0</v>
      </c>
      <c r="B273" s="18" t="s">
        <v>509</v>
      </c>
      <c r="C273" s="10" t="s">
        <v>32</v>
      </c>
      <c r="D273" s="19">
        <v>43372.0</v>
      </c>
      <c r="E273" s="22">
        <v>0.6770833333333334</v>
      </c>
      <c r="F273" s="23" t="s">
        <v>24</v>
      </c>
      <c r="G273" s="13" t="s">
        <v>30</v>
      </c>
      <c r="H273" s="1" t="s">
        <v>510</v>
      </c>
      <c r="I273" s="24" t="s">
        <v>59</v>
      </c>
      <c r="J273" s="25">
        <v>78015.0</v>
      </c>
      <c r="K273" s="26">
        <v>0.04236111111111111</v>
      </c>
      <c r="L273" s="1" t="s">
        <v>500</v>
      </c>
      <c r="M273" s="1">
        <f t="shared" si="14"/>
        <v>1</v>
      </c>
      <c r="N273" s="1">
        <f t="shared" si="15"/>
        <v>1</v>
      </c>
      <c r="O273" s="1" t="str">
        <f t="shared" si="3"/>
        <v>11</v>
      </c>
      <c r="P273" s="1" t="str">
        <f t="shared" si="4"/>
        <v>DRAW</v>
      </c>
      <c r="Q273" s="1">
        <f t="shared" si="5"/>
        <v>0</v>
      </c>
    </row>
    <row r="274" ht="15.75" customHeight="1">
      <c r="A274" s="1">
        <v>8.0</v>
      </c>
      <c r="B274" s="18" t="s">
        <v>511</v>
      </c>
      <c r="C274" s="10" t="s">
        <v>29</v>
      </c>
      <c r="D274" s="19">
        <v>43380.0</v>
      </c>
      <c r="E274" s="22">
        <v>0.8645833333333334</v>
      </c>
      <c r="F274" s="23" t="s">
        <v>19</v>
      </c>
      <c r="G274" s="13" t="s">
        <v>30</v>
      </c>
      <c r="H274" s="1" t="s">
        <v>512</v>
      </c>
      <c r="I274" s="24" t="s">
        <v>59</v>
      </c>
      <c r="J274" s="25">
        <v>46249.0</v>
      </c>
      <c r="K274" s="26">
        <v>0.04236111111111111</v>
      </c>
      <c r="L274" s="1" t="s">
        <v>500</v>
      </c>
      <c r="M274" s="1">
        <f t="shared" si="14"/>
        <v>1</v>
      </c>
      <c r="N274" s="1">
        <f t="shared" si="15"/>
        <v>1</v>
      </c>
      <c r="O274" s="1" t="str">
        <f t="shared" si="3"/>
        <v>11</v>
      </c>
      <c r="P274" s="1" t="str">
        <f t="shared" si="4"/>
        <v>DRAW</v>
      </c>
      <c r="Q274" s="1">
        <f t="shared" si="5"/>
        <v>0</v>
      </c>
    </row>
    <row r="275" ht="15.75" customHeight="1">
      <c r="A275" s="1">
        <v>9.0</v>
      </c>
      <c r="B275" s="18" t="s">
        <v>513</v>
      </c>
      <c r="C275" s="10" t="s">
        <v>32</v>
      </c>
      <c r="D275" s="21">
        <v>43393.0</v>
      </c>
      <c r="E275" s="22">
        <v>0.8645833333333334</v>
      </c>
      <c r="F275" s="23" t="s">
        <v>24</v>
      </c>
      <c r="G275" s="13" t="s">
        <v>33</v>
      </c>
      <c r="H275" s="1" t="s">
        <v>514</v>
      </c>
      <c r="I275" s="24" t="s">
        <v>59</v>
      </c>
      <c r="J275" s="25">
        <v>88712.0</v>
      </c>
      <c r="K275" s="26">
        <v>0.16805555555555557</v>
      </c>
      <c r="L275" s="1" t="s">
        <v>500</v>
      </c>
      <c r="M275" s="1">
        <f t="shared" si="14"/>
        <v>4</v>
      </c>
      <c r="N275" s="1">
        <f t="shared" si="15"/>
        <v>2</v>
      </c>
      <c r="O275" s="1" t="str">
        <f t="shared" si="3"/>
        <v>42</v>
      </c>
      <c r="P275" s="1" t="str">
        <f t="shared" si="4"/>
        <v>WIN</v>
      </c>
      <c r="Q275" s="1">
        <f t="shared" si="5"/>
        <v>1</v>
      </c>
    </row>
    <row r="276" ht="15.75" customHeight="1">
      <c r="A276" s="1">
        <v>10.0</v>
      </c>
      <c r="B276" s="18" t="s">
        <v>515</v>
      </c>
      <c r="C276" s="10" t="s">
        <v>29</v>
      </c>
      <c r="D276" s="21">
        <v>43401.0</v>
      </c>
      <c r="E276" s="22">
        <v>0.6770833333333334</v>
      </c>
      <c r="F276" s="23" t="s">
        <v>24</v>
      </c>
      <c r="G276" s="13" t="s">
        <v>30</v>
      </c>
      <c r="H276" s="1" t="s">
        <v>516</v>
      </c>
      <c r="I276" s="24" t="s">
        <v>59</v>
      </c>
      <c r="J276" s="25">
        <v>93265.0</v>
      </c>
      <c r="K276" s="26">
        <v>0.20902777777777778</v>
      </c>
      <c r="L276" s="1" t="s">
        <v>500</v>
      </c>
      <c r="M276" s="1">
        <f t="shared" si="14"/>
        <v>5</v>
      </c>
      <c r="N276" s="1">
        <f t="shared" si="15"/>
        <v>1</v>
      </c>
      <c r="O276" s="1" t="str">
        <f t="shared" si="3"/>
        <v>51</v>
      </c>
      <c r="P276" s="1" t="str">
        <f t="shared" si="4"/>
        <v>WIN</v>
      </c>
      <c r="Q276" s="1">
        <f t="shared" si="5"/>
        <v>1</v>
      </c>
    </row>
    <row r="277" ht="15.75" customHeight="1">
      <c r="A277" s="1">
        <v>11.0</v>
      </c>
      <c r="B277" s="18" t="s">
        <v>517</v>
      </c>
      <c r="C277" s="10" t="s">
        <v>32</v>
      </c>
      <c r="D277" s="19">
        <v>43407.0</v>
      </c>
      <c r="E277" s="22">
        <v>0.8645833333333334</v>
      </c>
      <c r="F277" s="23" t="s">
        <v>19</v>
      </c>
      <c r="G277" s="13" t="s">
        <v>30</v>
      </c>
      <c r="H277" s="1" t="s">
        <v>518</v>
      </c>
      <c r="I277" s="24" t="s">
        <v>59</v>
      </c>
      <c r="J277" s="25">
        <v>13785.0</v>
      </c>
      <c r="K277" s="26">
        <v>0.08541666666666667</v>
      </c>
      <c r="L277" s="1" t="s">
        <v>500</v>
      </c>
      <c r="M277" s="1">
        <f t="shared" si="14"/>
        <v>2</v>
      </c>
      <c r="N277" s="1">
        <f t="shared" si="15"/>
        <v>3</v>
      </c>
      <c r="O277" s="1" t="str">
        <f t="shared" si="3"/>
        <v>23</v>
      </c>
      <c r="P277" s="1" t="str">
        <f t="shared" si="4"/>
        <v>WIN</v>
      </c>
      <c r="Q277" s="1">
        <f t="shared" si="5"/>
        <v>1</v>
      </c>
    </row>
    <row r="278" ht="15.75" customHeight="1">
      <c r="A278" s="1">
        <v>12.0</v>
      </c>
      <c r="B278" s="18" t="s">
        <v>519</v>
      </c>
      <c r="C278" s="10" t="s">
        <v>29</v>
      </c>
      <c r="D278" s="21">
        <v>43415.0</v>
      </c>
      <c r="E278" s="22">
        <v>0.6770833333333334</v>
      </c>
      <c r="F278" s="23" t="s">
        <v>24</v>
      </c>
      <c r="G278" s="13" t="s">
        <v>30</v>
      </c>
      <c r="H278" s="1" t="s">
        <v>440</v>
      </c>
      <c r="I278" s="24" t="s">
        <v>483</v>
      </c>
      <c r="J278" s="25">
        <v>83174.0</v>
      </c>
      <c r="K278" s="26">
        <v>0.12777777777777777</v>
      </c>
      <c r="L278" s="1" t="s">
        <v>500</v>
      </c>
      <c r="M278" s="1">
        <f t="shared" si="14"/>
        <v>3</v>
      </c>
      <c r="N278" s="1">
        <f t="shared" si="15"/>
        <v>4</v>
      </c>
      <c r="O278" s="1" t="str">
        <f t="shared" si="3"/>
        <v>34</v>
      </c>
      <c r="P278" s="1" t="str">
        <f t="shared" si="4"/>
        <v>LOSS</v>
      </c>
      <c r="Q278" s="1">
        <f t="shared" si="5"/>
        <v>-1</v>
      </c>
    </row>
    <row r="279" ht="15.75" customHeight="1">
      <c r="A279" s="1">
        <v>13.0</v>
      </c>
      <c r="B279" s="18" t="s">
        <v>520</v>
      </c>
      <c r="C279" s="10" t="s">
        <v>32</v>
      </c>
      <c r="D279" s="21">
        <v>43428.0</v>
      </c>
      <c r="E279" s="22">
        <v>0.8645833333333334</v>
      </c>
      <c r="F279" s="23" t="s">
        <v>19</v>
      </c>
      <c r="G279" s="13" t="s">
        <v>30</v>
      </c>
      <c r="H279" s="1" t="s">
        <v>107</v>
      </c>
      <c r="I279" s="24" t="s">
        <v>483</v>
      </c>
      <c r="J279" s="25">
        <v>67204.0</v>
      </c>
      <c r="K279" s="26">
        <v>0.04236111111111111</v>
      </c>
      <c r="L279" s="1" t="s">
        <v>500</v>
      </c>
      <c r="M279" s="1">
        <f t="shared" si="14"/>
        <v>1</v>
      </c>
      <c r="N279" s="1">
        <f t="shared" si="15"/>
        <v>1</v>
      </c>
      <c r="O279" s="1" t="str">
        <f t="shared" si="3"/>
        <v>11</v>
      </c>
      <c r="P279" s="1" t="str">
        <f t="shared" si="4"/>
        <v>DRAW</v>
      </c>
      <c r="Q279" s="1">
        <f t="shared" si="5"/>
        <v>0</v>
      </c>
    </row>
    <row r="280" ht="15.75" customHeight="1">
      <c r="A280" s="1">
        <v>14.0</v>
      </c>
      <c r="B280" s="18" t="s">
        <v>521</v>
      </c>
      <c r="C280" s="10" t="s">
        <v>29</v>
      </c>
      <c r="D280" s="19">
        <v>43436.0</v>
      </c>
      <c r="E280" s="22">
        <v>0.7708333333333334</v>
      </c>
      <c r="F280" s="23" t="s">
        <v>24</v>
      </c>
      <c r="G280" s="13" t="s">
        <v>33</v>
      </c>
      <c r="H280" s="1" t="s">
        <v>522</v>
      </c>
      <c r="I280" s="24" t="s">
        <v>59</v>
      </c>
      <c r="J280" s="25">
        <v>73003.0</v>
      </c>
      <c r="K280" s="26">
        <v>0.08333333333333333</v>
      </c>
      <c r="L280" s="1" t="s">
        <v>500</v>
      </c>
      <c r="M280" s="1">
        <f t="shared" si="14"/>
        <v>2</v>
      </c>
      <c r="N280" s="1">
        <f t="shared" si="15"/>
        <v>0</v>
      </c>
      <c r="O280" s="1" t="str">
        <f t="shared" si="3"/>
        <v>20</v>
      </c>
      <c r="P280" s="1" t="str">
        <f t="shared" si="4"/>
        <v>WIN</v>
      </c>
      <c r="Q280" s="1">
        <f t="shared" si="5"/>
        <v>1</v>
      </c>
    </row>
    <row r="281" ht="15.75" customHeight="1">
      <c r="A281" s="1">
        <v>15.0</v>
      </c>
      <c r="B281" s="18" t="s">
        <v>523</v>
      </c>
      <c r="C281" s="10" t="s">
        <v>32</v>
      </c>
      <c r="D281" s="19">
        <v>43442.0</v>
      </c>
      <c r="E281" s="22">
        <v>0.8645833333333334</v>
      </c>
      <c r="F281" s="23" t="s">
        <v>19</v>
      </c>
      <c r="G281" s="13" t="s">
        <v>30</v>
      </c>
      <c r="H281" s="1" t="s">
        <v>524</v>
      </c>
      <c r="I281" s="24" t="s">
        <v>59</v>
      </c>
      <c r="J281" s="25">
        <v>24037.0</v>
      </c>
      <c r="K281" s="26">
        <v>0.002777777777777778</v>
      </c>
      <c r="L281" s="1" t="s">
        <v>500</v>
      </c>
      <c r="M281" s="1">
        <f t="shared" si="14"/>
        <v>0</v>
      </c>
      <c r="N281" s="1">
        <f t="shared" si="15"/>
        <v>4</v>
      </c>
      <c r="O281" s="1" t="str">
        <f t="shared" si="3"/>
        <v>04</v>
      </c>
      <c r="P281" s="1" t="str">
        <f t="shared" si="4"/>
        <v>WIN</v>
      </c>
      <c r="Q281" s="1">
        <f t="shared" si="5"/>
        <v>1</v>
      </c>
    </row>
    <row r="282" ht="15.75" customHeight="1">
      <c r="A282" s="1">
        <v>16.0</v>
      </c>
      <c r="B282" s="18" t="s">
        <v>525</v>
      </c>
      <c r="C282" s="10" t="s">
        <v>29</v>
      </c>
      <c r="D282" s="21">
        <v>43450.0</v>
      </c>
      <c r="E282" s="22">
        <v>0.8645833333333334</v>
      </c>
      <c r="F282" s="23" t="s">
        <v>19</v>
      </c>
      <c r="G282" s="13" t="s">
        <v>30</v>
      </c>
      <c r="H282" s="1" t="s">
        <v>526</v>
      </c>
      <c r="I282" s="24" t="s">
        <v>418</v>
      </c>
      <c r="J282" s="25">
        <v>23736.0</v>
      </c>
      <c r="K282" s="26">
        <v>0.003472222222222222</v>
      </c>
      <c r="L282" s="1" t="s">
        <v>500</v>
      </c>
      <c r="M282" s="1">
        <f t="shared" si="14"/>
        <v>0</v>
      </c>
      <c r="N282" s="1">
        <f t="shared" si="15"/>
        <v>5</v>
      </c>
      <c r="O282" s="1" t="str">
        <f t="shared" si="3"/>
        <v>05</v>
      </c>
      <c r="P282" s="1" t="str">
        <f t="shared" si="4"/>
        <v>WIN</v>
      </c>
      <c r="Q282" s="1">
        <f t="shared" si="5"/>
        <v>1</v>
      </c>
    </row>
    <row r="283" ht="15.75" customHeight="1">
      <c r="A283" s="1">
        <v>17.0</v>
      </c>
      <c r="B283" s="18" t="s">
        <v>527</v>
      </c>
      <c r="C283" s="10" t="s">
        <v>32</v>
      </c>
      <c r="D283" s="21">
        <v>43456.0</v>
      </c>
      <c r="E283" s="22">
        <v>0.7708333333333334</v>
      </c>
      <c r="F283" s="23" t="s">
        <v>24</v>
      </c>
      <c r="G283" s="13" t="s">
        <v>30</v>
      </c>
      <c r="H283" s="1" t="s">
        <v>528</v>
      </c>
      <c r="I283" s="24" t="s">
        <v>59</v>
      </c>
      <c r="J283" s="25">
        <v>78686.0</v>
      </c>
      <c r="K283" s="26">
        <v>0.08333333333333333</v>
      </c>
      <c r="L283" s="1" t="s">
        <v>500</v>
      </c>
      <c r="M283" s="1">
        <f t="shared" si="14"/>
        <v>2</v>
      </c>
      <c r="N283" s="1">
        <f t="shared" si="15"/>
        <v>0</v>
      </c>
      <c r="O283" s="1" t="str">
        <f t="shared" si="3"/>
        <v>20</v>
      </c>
      <c r="P283" s="1" t="str">
        <f t="shared" si="4"/>
        <v>WIN</v>
      </c>
      <c r="Q283" s="1">
        <f t="shared" si="5"/>
        <v>1</v>
      </c>
    </row>
    <row r="284" ht="15.75" customHeight="1">
      <c r="A284" s="1">
        <v>18.0</v>
      </c>
      <c r="B284" s="18" t="s">
        <v>529</v>
      </c>
      <c r="C284" s="10" t="s">
        <v>29</v>
      </c>
      <c r="D284" s="19">
        <v>43471.0</v>
      </c>
      <c r="E284" s="22">
        <v>0.8645833333333334</v>
      </c>
      <c r="F284" s="23" t="s">
        <v>19</v>
      </c>
      <c r="G284" s="13" t="s">
        <v>30</v>
      </c>
      <c r="H284" s="1" t="s">
        <v>530</v>
      </c>
      <c r="I284" s="24" t="s">
        <v>59</v>
      </c>
      <c r="J284" s="25">
        <v>14721.0</v>
      </c>
      <c r="K284" s="26">
        <v>0.043055555555555555</v>
      </c>
      <c r="L284" s="1" t="s">
        <v>500</v>
      </c>
      <c r="M284" s="1">
        <f t="shared" si="14"/>
        <v>1</v>
      </c>
      <c r="N284" s="1">
        <f t="shared" si="15"/>
        <v>2</v>
      </c>
      <c r="O284" s="1" t="str">
        <f t="shared" si="3"/>
        <v>12</v>
      </c>
      <c r="P284" s="1" t="str">
        <f t="shared" si="4"/>
        <v>WIN</v>
      </c>
      <c r="Q284" s="1">
        <f t="shared" si="5"/>
        <v>1</v>
      </c>
    </row>
    <row r="285" ht="15.75" customHeight="1">
      <c r="A285" s="1">
        <v>19.0</v>
      </c>
      <c r="B285" s="18" t="s">
        <v>531</v>
      </c>
      <c r="C285" s="10" t="s">
        <v>29</v>
      </c>
      <c r="D285" s="19">
        <v>43478.0</v>
      </c>
      <c r="E285" s="22">
        <v>0.7708333333333334</v>
      </c>
      <c r="F285" s="23" t="s">
        <v>24</v>
      </c>
      <c r="G285" s="13" t="s">
        <v>30</v>
      </c>
      <c r="H285" s="1" t="s">
        <v>532</v>
      </c>
      <c r="I285" s="24" t="s">
        <v>59</v>
      </c>
      <c r="J285" s="25">
        <v>71039.0</v>
      </c>
      <c r="K285" s="26">
        <v>0.125</v>
      </c>
      <c r="L285" s="1" t="s">
        <v>500</v>
      </c>
      <c r="M285" s="1">
        <f t="shared" si="14"/>
        <v>3</v>
      </c>
      <c r="N285" s="1">
        <f t="shared" si="15"/>
        <v>0</v>
      </c>
      <c r="O285" s="1" t="str">
        <f t="shared" si="3"/>
        <v>30</v>
      </c>
      <c r="P285" s="1" t="str">
        <f t="shared" si="4"/>
        <v>WIN</v>
      </c>
      <c r="Q285" s="1">
        <f t="shared" si="5"/>
        <v>1</v>
      </c>
    </row>
    <row r="286" ht="15.75" customHeight="1">
      <c r="A286" s="1">
        <v>20.0</v>
      </c>
      <c r="B286" s="18" t="s">
        <v>533</v>
      </c>
      <c r="C286" s="10" t="s">
        <v>29</v>
      </c>
      <c r="D286" s="19">
        <v>43485.0</v>
      </c>
      <c r="E286" s="22">
        <v>0.8645833333333334</v>
      </c>
      <c r="F286" s="23" t="s">
        <v>24</v>
      </c>
      <c r="G286" s="13" t="s">
        <v>30</v>
      </c>
      <c r="H286" s="1" t="s">
        <v>534</v>
      </c>
      <c r="I286" s="24" t="s">
        <v>59</v>
      </c>
      <c r="J286" s="25">
        <v>50670.0</v>
      </c>
      <c r="K286" s="26">
        <v>0.12569444444444444</v>
      </c>
      <c r="L286" s="1" t="s">
        <v>500</v>
      </c>
      <c r="M286" s="1">
        <f t="shared" si="14"/>
        <v>3</v>
      </c>
      <c r="N286" s="1">
        <f t="shared" si="15"/>
        <v>1</v>
      </c>
      <c r="O286" s="1" t="str">
        <f t="shared" si="3"/>
        <v>31</v>
      </c>
      <c r="P286" s="1" t="str">
        <f t="shared" si="4"/>
        <v>WIN</v>
      </c>
      <c r="Q286" s="1">
        <f t="shared" si="5"/>
        <v>1</v>
      </c>
    </row>
    <row r="287" ht="15.75" customHeight="1">
      <c r="A287" s="1">
        <v>21.0</v>
      </c>
      <c r="B287" s="18" t="s">
        <v>535</v>
      </c>
      <c r="C287" s="10" t="s">
        <v>29</v>
      </c>
      <c r="D287" s="19">
        <v>43492.0</v>
      </c>
      <c r="E287" s="22">
        <v>0.6770833333333334</v>
      </c>
      <c r="F287" s="23" t="s">
        <v>19</v>
      </c>
      <c r="G287" s="13" t="s">
        <v>30</v>
      </c>
      <c r="H287" s="1" t="s">
        <v>536</v>
      </c>
      <c r="I287" s="24" t="s">
        <v>59</v>
      </c>
      <c r="J287" s="25">
        <v>14021.0</v>
      </c>
      <c r="K287" s="26">
        <v>0.001388888888888889</v>
      </c>
      <c r="L287" s="1" t="s">
        <v>500</v>
      </c>
      <c r="M287" s="1">
        <f t="shared" si="14"/>
        <v>0</v>
      </c>
      <c r="N287" s="1">
        <f t="shared" si="15"/>
        <v>2</v>
      </c>
      <c r="O287" s="1" t="str">
        <f t="shared" si="3"/>
        <v>02</v>
      </c>
      <c r="P287" s="1" t="str">
        <f t="shared" si="4"/>
        <v>WIN</v>
      </c>
      <c r="Q287" s="1">
        <f t="shared" si="5"/>
        <v>1</v>
      </c>
    </row>
    <row r="288" ht="15.75" customHeight="1">
      <c r="A288" s="1">
        <v>22.0</v>
      </c>
      <c r="B288" s="18" t="s">
        <v>537</v>
      </c>
      <c r="C288" s="10" t="s">
        <v>32</v>
      </c>
      <c r="D288" s="19">
        <v>43498.0</v>
      </c>
      <c r="E288" s="22">
        <v>0.7708333333333334</v>
      </c>
      <c r="F288" s="23" t="s">
        <v>24</v>
      </c>
      <c r="G288" s="13" t="s">
        <v>30</v>
      </c>
      <c r="H288" s="1" t="s">
        <v>472</v>
      </c>
      <c r="I288" s="24" t="s">
        <v>59</v>
      </c>
      <c r="J288" s="25">
        <v>76789.0</v>
      </c>
      <c r="K288" s="26">
        <v>0.08472222222222223</v>
      </c>
      <c r="L288" s="1" t="s">
        <v>500</v>
      </c>
      <c r="M288" s="1">
        <f t="shared" si="14"/>
        <v>2</v>
      </c>
      <c r="N288" s="1">
        <f t="shared" si="15"/>
        <v>2</v>
      </c>
      <c r="O288" s="1" t="str">
        <f t="shared" si="3"/>
        <v>22</v>
      </c>
      <c r="P288" s="1" t="str">
        <f t="shared" si="4"/>
        <v>DRAW</v>
      </c>
      <c r="Q288" s="1">
        <f t="shared" si="5"/>
        <v>0</v>
      </c>
    </row>
    <row r="289" ht="15.75" customHeight="1">
      <c r="A289" s="1">
        <v>23.0</v>
      </c>
      <c r="B289" s="18" t="s">
        <v>538</v>
      </c>
      <c r="C289" s="10" t="s">
        <v>29</v>
      </c>
      <c r="D289" s="19">
        <v>43506.0</v>
      </c>
      <c r="E289" s="22">
        <v>0.8645833333333334</v>
      </c>
      <c r="F289" s="23" t="s">
        <v>19</v>
      </c>
      <c r="G289" s="13" t="s">
        <v>30</v>
      </c>
      <c r="H289" s="1" t="s">
        <v>55</v>
      </c>
      <c r="I289" s="24" t="s">
        <v>59</v>
      </c>
      <c r="J289" s="25">
        <v>47557.0</v>
      </c>
      <c r="K289" s="26">
        <v>0.0</v>
      </c>
      <c r="L289" s="1" t="s">
        <v>500</v>
      </c>
      <c r="M289" s="1">
        <f t="shared" si="14"/>
        <v>0</v>
      </c>
      <c r="N289" s="1">
        <f t="shared" si="15"/>
        <v>0</v>
      </c>
      <c r="O289" s="1" t="str">
        <f t="shared" si="3"/>
        <v>00</v>
      </c>
      <c r="P289" s="1" t="str">
        <f t="shared" si="4"/>
        <v>DRAW</v>
      </c>
      <c r="Q289" s="1">
        <f t="shared" si="5"/>
        <v>0</v>
      </c>
    </row>
    <row r="290" ht="15.75" customHeight="1">
      <c r="A290" s="1">
        <v>24.0</v>
      </c>
      <c r="B290" s="18" t="s">
        <v>539</v>
      </c>
      <c r="C290" s="10" t="s">
        <v>32</v>
      </c>
      <c r="D290" s="19">
        <v>43512.0</v>
      </c>
      <c r="E290" s="22">
        <v>0.8645833333333334</v>
      </c>
      <c r="F290" s="23" t="s">
        <v>24</v>
      </c>
      <c r="G290" s="13" t="s">
        <v>30</v>
      </c>
      <c r="H290" s="1" t="s">
        <v>540</v>
      </c>
      <c r="I290" s="24" t="s">
        <v>59</v>
      </c>
      <c r="J290" s="25">
        <v>67435.0</v>
      </c>
      <c r="K290" s="26">
        <v>0.041666666666666664</v>
      </c>
      <c r="L290" s="1" t="s">
        <v>500</v>
      </c>
      <c r="M290" s="1">
        <f t="shared" si="14"/>
        <v>1</v>
      </c>
      <c r="N290" s="1">
        <f t="shared" si="15"/>
        <v>0</v>
      </c>
      <c r="O290" s="1" t="str">
        <f t="shared" si="3"/>
        <v>10</v>
      </c>
      <c r="P290" s="1" t="str">
        <f t="shared" si="4"/>
        <v>WIN</v>
      </c>
      <c r="Q290" s="1">
        <f t="shared" si="5"/>
        <v>1</v>
      </c>
    </row>
    <row r="291" ht="15.75" customHeight="1">
      <c r="A291" s="1">
        <v>25.0</v>
      </c>
      <c r="B291" s="18" t="s">
        <v>541</v>
      </c>
      <c r="C291" s="10" t="s">
        <v>32</v>
      </c>
      <c r="D291" s="19">
        <v>43519.0</v>
      </c>
      <c r="E291" s="22">
        <v>0.6770833333333334</v>
      </c>
      <c r="F291" s="23" t="s">
        <v>19</v>
      </c>
      <c r="G291" s="13" t="s">
        <v>30</v>
      </c>
      <c r="H291" s="1" t="s">
        <v>450</v>
      </c>
      <c r="I291" s="24" t="s">
        <v>59</v>
      </c>
      <c r="J291" s="25">
        <v>40661.0</v>
      </c>
      <c r="K291" s="26">
        <v>0.08611111111111111</v>
      </c>
      <c r="L291" s="1" t="s">
        <v>500</v>
      </c>
      <c r="M291" s="1">
        <f t="shared" si="14"/>
        <v>2</v>
      </c>
      <c r="N291" s="1">
        <f t="shared" si="15"/>
        <v>4</v>
      </c>
      <c r="O291" s="1" t="str">
        <f t="shared" si="3"/>
        <v>24</v>
      </c>
      <c r="P291" s="1" t="str">
        <f t="shared" si="4"/>
        <v>WIN</v>
      </c>
      <c r="Q291" s="1">
        <f t="shared" si="5"/>
        <v>1</v>
      </c>
    </row>
    <row r="292" ht="15.75" customHeight="1">
      <c r="A292" s="1">
        <v>26.0</v>
      </c>
      <c r="B292" s="18" t="s">
        <v>542</v>
      </c>
      <c r="C292" s="10" t="s">
        <v>32</v>
      </c>
      <c r="D292" s="19">
        <v>43526.0</v>
      </c>
      <c r="E292" s="22">
        <v>0.8645833333333334</v>
      </c>
      <c r="F292" s="23" t="s">
        <v>19</v>
      </c>
      <c r="G292" s="13" t="s">
        <v>30</v>
      </c>
      <c r="H292" s="1" t="s">
        <v>543</v>
      </c>
      <c r="I292" s="24" t="s">
        <v>59</v>
      </c>
      <c r="J292" s="25">
        <v>78921.0</v>
      </c>
      <c r="K292" s="26">
        <v>6.944444444444445E-4</v>
      </c>
      <c r="L292" s="1" t="s">
        <v>500</v>
      </c>
      <c r="M292" s="1">
        <f t="shared" si="14"/>
        <v>0</v>
      </c>
      <c r="N292" s="1">
        <f t="shared" si="15"/>
        <v>1</v>
      </c>
      <c r="O292" s="1" t="str">
        <f t="shared" si="3"/>
        <v>01</v>
      </c>
      <c r="P292" s="1" t="str">
        <f t="shared" si="4"/>
        <v>WIN</v>
      </c>
      <c r="Q292" s="1">
        <f t="shared" si="5"/>
        <v>1</v>
      </c>
    </row>
    <row r="293" ht="15.75" customHeight="1">
      <c r="A293" s="1">
        <v>27.0</v>
      </c>
      <c r="B293" s="18" t="s">
        <v>544</v>
      </c>
      <c r="C293" s="10" t="s">
        <v>32</v>
      </c>
      <c r="D293" s="19">
        <v>43533.0</v>
      </c>
      <c r="E293" s="22">
        <v>0.7708333333333334</v>
      </c>
      <c r="F293" s="23" t="s">
        <v>24</v>
      </c>
      <c r="G293" s="13" t="s">
        <v>30</v>
      </c>
      <c r="H293" s="1" t="s">
        <v>518</v>
      </c>
      <c r="I293" s="24" t="s">
        <v>59</v>
      </c>
      <c r="J293" s="25">
        <v>74158.0</v>
      </c>
      <c r="K293" s="26">
        <v>0.12569444444444444</v>
      </c>
      <c r="L293" s="1" t="s">
        <v>500</v>
      </c>
      <c r="M293" s="1">
        <f t="shared" si="14"/>
        <v>3</v>
      </c>
      <c r="N293" s="1">
        <f t="shared" si="15"/>
        <v>1</v>
      </c>
      <c r="O293" s="1" t="str">
        <f t="shared" si="3"/>
        <v>31</v>
      </c>
      <c r="P293" s="1" t="str">
        <f t="shared" si="4"/>
        <v>WIN</v>
      </c>
      <c r="Q293" s="1">
        <f t="shared" si="5"/>
        <v>1</v>
      </c>
    </row>
    <row r="294" ht="15.75" customHeight="1">
      <c r="A294" s="1">
        <v>28.0</v>
      </c>
      <c r="B294" s="18" t="s">
        <v>545</v>
      </c>
      <c r="C294" s="10" t="s">
        <v>29</v>
      </c>
      <c r="D294" s="19">
        <v>43541.0</v>
      </c>
      <c r="E294" s="22">
        <v>0.8645833333333334</v>
      </c>
      <c r="F294" s="23" t="s">
        <v>19</v>
      </c>
      <c r="G294" s="13" t="s">
        <v>30</v>
      </c>
      <c r="H294" s="1" t="s">
        <v>546</v>
      </c>
      <c r="I294" s="24" t="s">
        <v>483</v>
      </c>
      <c r="J294" s="25">
        <v>54172.0</v>
      </c>
      <c r="K294" s="26">
        <v>0.044444444444444446</v>
      </c>
      <c r="L294" s="1" t="s">
        <v>500</v>
      </c>
      <c r="M294" s="1">
        <f t="shared" si="14"/>
        <v>1</v>
      </c>
      <c r="N294" s="1">
        <f t="shared" si="15"/>
        <v>4</v>
      </c>
      <c r="O294" s="1" t="str">
        <f t="shared" si="3"/>
        <v>14</v>
      </c>
      <c r="P294" s="1" t="str">
        <f t="shared" si="4"/>
        <v>WIN</v>
      </c>
      <c r="Q294" s="1">
        <f t="shared" si="5"/>
        <v>1</v>
      </c>
    </row>
    <row r="295" ht="15.75" customHeight="1">
      <c r="A295" s="1">
        <v>29.0</v>
      </c>
      <c r="B295" s="18" t="s">
        <v>547</v>
      </c>
      <c r="C295" s="10" t="s">
        <v>32</v>
      </c>
      <c r="D295" s="19">
        <v>43554.0</v>
      </c>
      <c r="E295" s="22">
        <v>0.6770833333333334</v>
      </c>
      <c r="F295" s="23" t="s">
        <v>24</v>
      </c>
      <c r="G295" s="13" t="s">
        <v>30</v>
      </c>
      <c r="H295" s="1" t="s">
        <v>398</v>
      </c>
      <c r="I295" s="24" t="s">
        <v>59</v>
      </c>
      <c r="J295" s="25">
        <v>92795.0</v>
      </c>
      <c r="K295" s="26">
        <v>0.08333333333333333</v>
      </c>
      <c r="L295" s="1" t="s">
        <v>500</v>
      </c>
      <c r="M295" s="1">
        <f t="shared" si="14"/>
        <v>2</v>
      </c>
      <c r="N295" s="1">
        <f t="shared" si="15"/>
        <v>0</v>
      </c>
      <c r="O295" s="1" t="str">
        <f t="shared" si="3"/>
        <v>20</v>
      </c>
      <c r="P295" s="1" t="str">
        <f t="shared" si="4"/>
        <v>WIN</v>
      </c>
      <c r="Q295" s="1">
        <f t="shared" si="5"/>
        <v>1</v>
      </c>
    </row>
    <row r="296" ht="15.75" customHeight="1">
      <c r="A296" s="1">
        <v>30.0</v>
      </c>
      <c r="B296" s="18" t="s">
        <v>548</v>
      </c>
      <c r="C296" s="10" t="s">
        <v>26</v>
      </c>
      <c r="D296" s="19">
        <v>43557.0</v>
      </c>
      <c r="E296" s="22">
        <v>0.8958333333333334</v>
      </c>
      <c r="F296" s="23" t="s">
        <v>19</v>
      </c>
      <c r="G296" s="13" t="s">
        <v>30</v>
      </c>
      <c r="H296" s="1" t="s">
        <v>549</v>
      </c>
      <c r="I296" s="24" t="s">
        <v>59</v>
      </c>
      <c r="J296" s="25">
        <v>19515.0</v>
      </c>
      <c r="K296" s="26">
        <v>0.16944444444444445</v>
      </c>
      <c r="L296" s="1" t="s">
        <v>500</v>
      </c>
      <c r="M296" s="1">
        <f t="shared" si="14"/>
        <v>4</v>
      </c>
      <c r="N296" s="1">
        <f t="shared" si="15"/>
        <v>4</v>
      </c>
      <c r="O296" s="1" t="str">
        <f t="shared" si="3"/>
        <v>44</v>
      </c>
      <c r="P296" s="1" t="str">
        <f t="shared" si="4"/>
        <v>DRAW</v>
      </c>
      <c r="Q296" s="1">
        <f t="shared" si="5"/>
        <v>0</v>
      </c>
    </row>
    <row r="297" ht="15.75" customHeight="1">
      <c r="A297" s="1">
        <v>31.0</v>
      </c>
      <c r="B297" s="18" t="s">
        <v>550</v>
      </c>
      <c r="C297" s="10" t="s">
        <v>32</v>
      </c>
      <c r="D297" s="19">
        <v>43561.0</v>
      </c>
      <c r="E297" s="22">
        <v>0.8645833333333334</v>
      </c>
      <c r="F297" s="23" t="s">
        <v>24</v>
      </c>
      <c r="G297" s="13" t="s">
        <v>30</v>
      </c>
      <c r="H297" s="1" t="s">
        <v>88</v>
      </c>
      <c r="I297" s="24" t="s">
        <v>483</v>
      </c>
      <c r="J297" s="25">
        <v>92453.0</v>
      </c>
      <c r="K297" s="26">
        <v>0.08333333333333333</v>
      </c>
      <c r="L297" s="1" t="s">
        <v>500</v>
      </c>
      <c r="M297" s="1">
        <f t="shared" si="14"/>
        <v>2</v>
      </c>
      <c r="N297" s="1">
        <f t="shared" si="15"/>
        <v>0</v>
      </c>
      <c r="O297" s="1" t="str">
        <f t="shared" si="3"/>
        <v>20</v>
      </c>
      <c r="P297" s="1" t="str">
        <f t="shared" si="4"/>
        <v>WIN</v>
      </c>
      <c r="Q297" s="1">
        <f t="shared" si="5"/>
        <v>1</v>
      </c>
    </row>
    <row r="298" ht="15.75" customHeight="1">
      <c r="A298" s="1">
        <v>32.0</v>
      </c>
      <c r="B298" s="18" t="s">
        <v>551</v>
      </c>
      <c r="C298" s="10" t="s">
        <v>32</v>
      </c>
      <c r="D298" s="19">
        <v>43568.0</v>
      </c>
      <c r="E298" s="22">
        <v>0.6770833333333334</v>
      </c>
      <c r="F298" s="23" t="s">
        <v>19</v>
      </c>
      <c r="G298" s="13" t="s">
        <v>30</v>
      </c>
      <c r="H298" s="1" t="s">
        <v>552</v>
      </c>
      <c r="I298" s="24" t="s">
        <v>418</v>
      </c>
      <c r="J298" s="25">
        <v>7332.0</v>
      </c>
      <c r="K298" s="26">
        <v>0.0</v>
      </c>
      <c r="L298" s="1" t="s">
        <v>500</v>
      </c>
      <c r="M298" s="1">
        <f t="shared" si="14"/>
        <v>0</v>
      </c>
      <c r="N298" s="1">
        <f t="shared" si="15"/>
        <v>0</v>
      </c>
      <c r="O298" s="1" t="str">
        <f t="shared" si="3"/>
        <v>00</v>
      </c>
      <c r="P298" s="1" t="str">
        <f t="shared" si="4"/>
        <v>DRAW</v>
      </c>
      <c r="Q298" s="1">
        <f t="shared" si="5"/>
        <v>0</v>
      </c>
    </row>
    <row r="299" ht="15.75" customHeight="1">
      <c r="A299" s="1">
        <v>33.0</v>
      </c>
      <c r="B299" s="18" t="s">
        <v>553</v>
      </c>
      <c r="C299" s="10" t="s">
        <v>32</v>
      </c>
      <c r="D299" s="19">
        <v>43575.0</v>
      </c>
      <c r="E299" s="22">
        <v>0.8645833333333334</v>
      </c>
      <c r="F299" s="23" t="s">
        <v>24</v>
      </c>
      <c r="G299" s="13" t="s">
        <v>30</v>
      </c>
      <c r="H299" s="1" t="s">
        <v>506</v>
      </c>
      <c r="I299" s="24" t="s">
        <v>59</v>
      </c>
      <c r="J299" s="25">
        <v>75470.0</v>
      </c>
      <c r="K299" s="26">
        <v>0.08402777777777778</v>
      </c>
      <c r="L299" s="1" t="s">
        <v>500</v>
      </c>
      <c r="M299" s="1">
        <f t="shared" si="14"/>
        <v>2</v>
      </c>
      <c r="N299" s="1">
        <f t="shared" si="15"/>
        <v>1</v>
      </c>
      <c r="O299" s="1" t="str">
        <f t="shared" si="3"/>
        <v>21</v>
      </c>
      <c r="P299" s="1" t="str">
        <f t="shared" si="4"/>
        <v>WIN</v>
      </c>
      <c r="Q299" s="1">
        <f t="shared" si="5"/>
        <v>1</v>
      </c>
    </row>
    <row r="300" ht="15.75" customHeight="1">
      <c r="A300" s="1">
        <v>34.0</v>
      </c>
      <c r="B300" s="18" t="s">
        <v>554</v>
      </c>
      <c r="C300" s="10" t="s">
        <v>26</v>
      </c>
      <c r="D300" s="19">
        <v>43578.0</v>
      </c>
      <c r="E300" s="22">
        <v>0.8958333333333334</v>
      </c>
      <c r="F300" s="23" t="s">
        <v>19</v>
      </c>
      <c r="G300" s="13" t="s">
        <v>30</v>
      </c>
      <c r="H300" s="1" t="s">
        <v>555</v>
      </c>
      <c r="I300" s="24" t="s">
        <v>59</v>
      </c>
      <c r="J300" s="25">
        <v>18735.0</v>
      </c>
      <c r="K300" s="26">
        <v>0.001388888888888889</v>
      </c>
      <c r="L300" s="1" t="s">
        <v>500</v>
      </c>
      <c r="M300" s="1">
        <f t="shared" si="14"/>
        <v>0</v>
      </c>
      <c r="N300" s="1">
        <f t="shared" si="15"/>
        <v>2</v>
      </c>
      <c r="O300" s="1" t="str">
        <f t="shared" si="3"/>
        <v>02</v>
      </c>
      <c r="P300" s="1" t="str">
        <f t="shared" si="4"/>
        <v>WIN</v>
      </c>
      <c r="Q300" s="1">
        <f t="shared" si="5"/>
        <v>1</v>
      </c>
    </row>
    <row r="301" ht="15.75" customHeight="1">
      <c r="A301" s="1">
        <v>35.0</v>
      </c>
      <c r="B301" s="18" t="s">
        <v>556</v>
      </c>
      <c r="C301" s="10" t="s">
        <v>32</v>
      </c>
      <c r="D301" s="19">
        <v>43582.0</v>
      </c>
      <c r="E301" s="22">
        <v>0.8645833333333334</v>
      </c>
      <c r="F301" s="23" t="s">
        <v>24</v>
      </c>
      <c r="G301" s="13" t="s">
        <v>30</v>
      </c>
      <c r="H301" s="1" t="s">
        <v>40</v>
      </c>
      <c r="I301" s="24" t="s">
        <v>59</v>
      </c>
      <c r="J301" s="25">
        <v>91917.0</v>
      </c>
      <c r="K301" s="26">
        <v>0.041666666666666664</v>
      </c>
      <c r="L301" s="1" t="s">
        <v>500</v>
      </c>
      <c r="M301" s="1">
        <f t="shared" si="14"/>
        <v>1</v>
      </c>
      <c r="N301" s="1">
        <f t="shared" si="15"/>
        <v>0</v>
      </c>
      <c r="O301" s="1" t="str">
        <f t="shared" si="3"/>
        <v>10</v>
      </c>
      <c r="P301" s="1" t="str">
        <f t="shared" si="4"/>
        <v>WIN</v>
      </c>
      <c r="Q301" s="1">
        <f t="shared" si="5"/>
        <v>1</v>
      </c>
    </row>
    <row r="302" ht="15.75" customHeight="1">
      <c r="A302" s="1">
        <v>36.0</v>
      </c>
      <c r="B302" s="18" t="s">
        <v>557</v>
      </c>
      <c r="C302" s="10" t="s">
        <v>32</v>
      </c>
      <c r="D302" s="19">
        <v>43589.0</v>
      </c>
      <c r="E302" s="22">
        <v>0.8645833333333334</v>
      </c>
      <c r="F302" s="23" t="s">
        <v>19</v>
      </c>
      <c r="G302" s="13" t="s">
        <v>30</v>
      </c>
      <c r="H302" s="1" t="s">
        <v>377</v>
      </c>
      <c r="I302" s="24" t="s">
        <v>59</v>
      </c>
      <c r="J302" s="25">
        <v>22519.0</v>
      </c>
      <c r="K302" s="26">
        <v>0.08333333333333333</v>
      </c>
      <c r="L302" s="1" t="s">
        <v>500</v>
      </c>
      <c r="M302" s="1">
        <f t="shared" si="14"/>
        <v>2</v>
      </c>
      <c r="N302" s="1">
        <f t="shared" si="15"/>
        <v>0</v>
      </c>
      <c r="O302" s="1" t="str">
        <f t="shared" si="3"/>
        <v>20</v>
      </c>
      <c r="P302" s="1" t="str">
        <f t="shared" si="4"/>
        <v>LOSS</v>
      </c>
      <c r="Q302" s="1">
        <f t="shared" si="5"/>
        <v>-1</v>
      </c>
    </row>
    <row r="303" ht="15.75" customHeight="1">
      <c r="A303" s="1">
        <v>37.0</v>
      </c>
      <c r="B303" s="18" t="s">
        <v>558</v>
      </c>
      <c r="C303" s="10" t="s">
        <v>29</v>
      </c>
      <c r="D303" s="19">
        <v>43597.0</v>
      </c>
      <c r="E303" s="22">
        <v>0.7708333333333334</v>
      </c>
      <c r="F303" s="23" t="s">
        <v>24</v>
      </c>
      <c r="G303" s="13" t="s">
        <v>30</v>
      </c>
      <c r="H303" s="1" t="s">
        <v>559</v>
      </c>
      <c r="I303" s="24" t="s">
        <v>59</v>
      </c>
      <c r="J303" s="25">
        <v>57088.0</v>
      </c>
      <c r="K303" s="26">
        <v>0.08333333333333333</v>
      </c>
      <c r="L303" s="1" t="s">
        <v>500</v>
      </c>
      <c r="M303" s="1">
        <f t="shared" si="14"/>
        <v>2</v>
      </c>
      <c r="N303" s="1">
        <f t="shared" si="15"/>
        <v>0</v>
      </c>
      <c r="O303" s="1" t="str">
        <f t="shared" si="3"/>
        <v>20</v>
      </c>
      <c r="P303" s="1" t="str">
        <f t="shared" si="4"/>
        <v>WIN</v>
      </c>
      <c r="Q303" s="1">
        <f t="shared" si="5"/>
        <v>1</v>
      </c>
    </row>
    <row r="304" ht="15.75" customHeight="1">
      <c r="A304" s="1">
        <v>38.0</v>
      </c>
      <c r="B304" s="18" t="s">
        <v>560</v>
      </c>
      <c r="C304" s="10" t="s">
        <v>29</v>
      </c>
      <c r="D304" s="19">
        <v>43604.0</v>
      </c>
      <c r="E304" s="22">
        <v>0.6770833333333334</v>
      </c>
      <c r="F304" s="23" t="s">
        <v>19</v>
      </c>
      <c r="G304" s="13" t="s">
        <v>30</v>
      </c>
      <c r="H304" s="1" t="s">
        <v>532</v>
      </c>
      <c r="I304" s="24" t="s">
        <v>59</v>
      </c>
      <c r="J304" s="25">
        <v>5145.0</v>
      </c>
      <c r="K304" s="26">
        <v>0.08472222222222223</v>
      </c>
      <c r="L304" s="1" t="s">
        <v>500</v>
      </c>
      <c r="M304" s="1">
        <f t="shared" si="14"/>
        <v>2</v>
      </c>
      <c r="N304" s="1">
        <f t="shared" si="15"/>
        <v>2</v>
      </c>
      <c r="O304" s="1" t="str">
        <f t="shared" si="3"/>
        <v>22</v>
      </c>
      <c r="P304" s="1" t="str">
        <f t="shared" si="4"/>
        <v>DRAW</v>
      </c>
      <c r="Q304" s="1">
        <f t="shared" si="5"/>
        <v>0</v>
      </c>
    </row>
    <row r="305" ht="15.75" customHeight="1">
      <c r="A305" s="24" t="s">
        <v>561</v>
      </c>
      <c r="B305" s="18" t="s">
        <v>562</v>
      </c>
      <c r="C305" s="10" t="s">
        <v>26</v>
      </c>
      <c r="D305" s="19">
        <v>43361.0</v>
      </c>
      <c r="E305" s="22">
        <v>0.7881944444444444</v>
      </c>
      <c r="F305" s="23" t="s">
        <v>24</v>
      </c>
      <c r="G305" s="13"/>
      <c r="H305" s="1" t="s">
        <v>563</v>
      </c>
      <c r="I305" s="24" t="s">
        <v>59</v>
      </c>
      <c r="J305" s="25">
        <v>73462.0</v>
      </c>
      <c r="K305" s="26">
        <v>0.16666666666666666</v>
      </c>
      <c r="L305" s="1" t="s">
        <v>500</v>
      </c>
      <c r="M305" s="1">
        <f t="shared" si="14"/>
        <v>4</v>
      </c>
      <c r="N305" s="1">
        <f t="shared" si="15"/>
        <v>0</v>
      </c>
      <c r="O305" s="1" t="str">
        <f t="shared" si="3"/>
        <v>40</v>
      </c>
      <c r="P305" s="1" t="str">
        <f t="shared" si="4"/>
        <v>WIN</v>
      </c>
      <c r="Q305" s="1">
        <f t="shared" si="5"/>
        <v>1</v>
      </c>
    </row>
    <row r="306" ht="15.75" customHeight="1">
      <c r="A306" s="24" t="s">
        <v>561</v>
      </c>
      <c r="B306" s="18" t="s">
        <v>564</v>
      </c>
      <c r="C306" s="10" t="s">
        <v>23</v>
      </c>
      <c r="D306" s="19">
        <v>43376.0</v>
      </c>
      <c r="E306" s="22">
        <v>0.875</v>
      </c>
      <c r="F306" s="23" t="s">
        <v>19</v>
      </c>
      <c r="G306" s="13"/>
      <c r="H306" s="1" t="s">
        <v>565</v>
      </c>
      <c r="I306" s="24" t="s">
        <v>59</v>
      </c>
      <c r="J306" s="25">
        <v>82137.0</v>
      </c>
      <c r="K306" s="26">
        <v>0.08611111111111111</v>
      </c>
      <c r="L306" s="1" t="s">
        <v>500</v>
      </c>
      <c r="M306" s="1">
        <f t="shared" si="14"/>
        <v>2</v>
      </c>
      <c r="N306" s="1">
        <f t="shared" si="15"/>
        <v>4</v>
      </c>
      <c r="O306" s="1" t="str">
        <f t="shared" si="3"/>
        <v>24</v>
      </c>
      <c r="P306" s="1" t="str">
        <f t="shared" si="4"/>
        <v>WIN</v>
      </c>
      <c r="Q306" s="1">
        <f t="shared" si="5"/>
        <v>1</v>
      </c>
    </row>
    <row r="307" ht="15.75" customHeight="1">
      <c r="A307" s="24" t="s">
        <v>561</v>
      </c>
      <c r="B307" s="18" t="s">
        <v>566</v>
      </c>
      <c r="C307" s="10" t="s">
        <v>23</v>
      </c>
      <c r="D307" s="21">
        <v>43397.0</v>
      </c>
      <c r="E307" s="22">
        <v>0.875</v>
      </c>
      <c r="F307" s="23" t="s">
        <v>24</v>
      </c>
      <c r="G307" s="13"/>
      <c r="H307" s="1" t="s">
        <v>153</v>
      </c>
      <c r="I307" s="24" t="s">
        <v>59</v>
      </c>
      <c r="J307" s="25">
        <v>86290.0</v>
      </c>
      <c r="K307" s="26">
        <v>0.08333333333333333</v>
      </c>
      <c r="L307" s="1" t="s">
        <v>500</v>
      </c>
      <c r="M307" s="1">
        <f t="shared" si="14"/>
        <v>2</v>
      </c>
      <c r="N307" s="1">
        <f t="shared" si="15"/>
        <v>0</v>
      </c>
      <c r="O307" s="1" t="str">
        <f t="shared" si="3"/>
        <v>20</v>
      </c>
      <c r="P307" s="1" t="str">
        <f t="shared" si="4"/>
        <v>WIN</v>
      </c>
      <c r="Q307" s="1">
        <f t="shared" si="5"/>
        <v>1</v>
      </c>
    </row>
    <row r="308" ht="15.75" customHeight="1">
      <c r="A308" s="24" t="s">
        <v>561</v>
      </c>
      <c r="B308" s="18" t="s">
        <v>567</v>
      </c>
      <c r="C308" s="10" t="s">
        <v>26</v>
      </c>
      <c r="D308" s="19">
        <v>43410.0</v>
      </c>
      <c r="E308" s="22">
        <v>0.875</v>
      </c>
      <c r="F308" s="23" t="s">
        <v>19</v>
      </c>
      <c r="G308" s="13"/>
      <c r="H308" s="1" t="s">
        <v>153</v>
      </c>
      <c r="I308" s="24" t="s">
        <v>59</v>
      </c>
      <c r="J308" s="25">
        <v>70915.0</v>
      </c>
      <c r="K308" s="26">
        <v>0.04236111111111111</v>
      </c>
      <c r="L308" s="1" t="s">
        <v>500</v>
      </c>
      <c r="M308" s="1">
        <f t="shared" si="14"/>
        <v>1</v>
      </c>
      <c r="N308" s="1">
        <f t="shared" si="15"/>
        <v>1</v>
      </c>
      <c r="O308" s="1" t="str">
        <f t="shared" si="3"/>
        <v>11</v>
      </c>
      <c r="P308" s="1" t="str">
        <f t="shared" si="4"/>
        <v>DRAW</v>
      </c>
      <c r="Q308" s="1">
        <f t="shared" si="5"/>
        <v>0</v>
      </c>
    </row>
    <row r="309" ht="15.75" customHeight="1">
      <c r="A309" s="24" t="s">
        <v>561</v>
      </c>
      <c r="B309" s="18" t="s">
        <v>568</v>
      </c>
      <c r="C309" s="10" t="s">
        <v>23</v>
      </c>
      <c r="D309" s="21">
        <v>43432.0</v>
      </c>
      <c r="E309" s="22">
        <v>0.875</v>
      </c>
      <c r="F309" s="23" t="s">
        <v>19</v>
      </c>
      <c r="G309" s="13"/>
      <c r="H309" s="1" t="s">
        <v>563</v>
      </c>
      <c r="I309" s="24" t="s">
        <v>59</v>
      </c>
      <c r="J309" s="25">
        <v>34600.0</v>
      </c>
      <c r="K309" s="26">
        <v>0.043055555555555555</v>
      </c>
      <c r="L309" s="1" t="s">
        <v>500</v>
      </c>
      <c r="M309" s="1">
        <f t="shared" si="14"/>
        <v>1</v>
      </c>
      <c r="N309" s="1">
        <f t="shared" si="15"/>
        <v>2</v>
      </c>
      <c r="O309" s="1" t="str">
        <f t="shared" si="3"/>
        <v>12</v>
      </c>
      <c r="P309" s="1" t="str">
        <f t="shared" si="4"/>
        <v>WIN</v>
      </c>
      <c r="Q309" s="1">
        <f t="shared" si="5"/>
        <v>1</v>
      </c>
    </row>
    <row r="310" ht="15.75" customHeight="1">
      <c r="A310" s="24" t="s">
        <v>561</v>
      </c>
      <c r="B310" s="18" t="s">
        <v>569</v>
      </c>
      <c r="C310" s="10" t="s">
        <v>26</v>
      </c>
      <c r="D310" s="21">
        <v>43445.0</v>
      </c>
      <c r="E310" s="22">
        <v>0.875</v>
      </c>
      <c r="F310" s="23" t="s">
        <v>24</v>
      </c>
      <c r="G310" s="13"/>
      <c r="H310" s="1" t="s">
        <v>565</v>
      </c>
      <c r="I310" s="24" t="s">
        <v>59</v>
      </c>
      <c r="J310" s="25">
        <v>69961.0</v>
      </c>
      <c r="K310" s="26">
        <v>0.04236111111111111</v>
      </c>
      <c r="L310" s="1" t="s">
        <v>500</v>
      </c>
      <c r="M310" s="1">
        <f t="shared" si="14"/>
        <v>1</v>
      </c>
      <c r="N310" s="1">
        <f t="shared" si="15"/>
        <v>1</v>
      </c>
      <c r="O310" s="1" t="str">
        <f t="shared" si="3"/>
        <v>11</v>
      </c>
      <c r="P310" s="1" t="str">
        <f t="shared" si="4"/>
        <v>DRAW</v>
      </c>
      <c r="Q310" s="1">
        <f t="shared" si="5"/>
        <v>0</v>
      </c>
    </row>
    <row r="311" ht="15.75" customHeight="1">
      <c r="A311" s="24" t="s">
        <v>143</v>
      </c>
      <c r="B311" s="18" t="s">
        <v>570</v>
      </c>
      <c r="C311" s="10" t="s">
        <v>26</v>
      </c>
      <c r="D311" s="19">
        <v>43515.0</v>
      </c>
      <c r="E311" s="22">
        <v>0.875</v>
      </c>
      <c r="F311" s="23" t="s">
        <v>19</v>
      </c>
      <c r="G311" s="13"/>
      <c r="H311" s="1" t="s">
        <v>571</v>
      </c>
      <c r="I311" s="24" t="s">
        <v>59</v>
      </c>
      <c r="J311" s="25">
        <v>57889.0</v>
      </c>
      <c r="K311" s="26">
        <v>0.0</v>
      </c>
      <c r="L311" s="1" t="s">
        <v>500</v>
      </c>
      <c r="M311" s="1">
        <f t="shared" si="14"/>
        <v>0</v>
      </c>
      <c r="N311" s="1">
        <f t="shared" si="15"/>
        <v>0</v>
      </c>
      <c r="O311" s="1" t="str">
        <f t="shared" si="3"/>
        <v>00</v>
      </c>
      <c r="P311" s="1" t="str">
        <f t="shared" si="4"/>
        <v>DRAW</v>
      </c>
      <c r="Q311" s="1">
        <f t="shared" si="5"/>
        <v>0</v>
      </c>
    </row>
    <row r="312" ht="15.75" customHeight="1">
      <c r="A312" s="24" t="s">
        <v>145</v>
      </c>
      <c r="B312" s="18" t="s">
        <v>572</v>
      </c>
      <c r="C312" s="10" t="s">
        <v>23</v>
      </c>
      <c r="D312" s="19">
        <v>43537.0</v>
      </c>
      <c r="E312" s="22">
        <v>0.875</v>
      </c>
      <c r="F312" s="23" t="s">
        <v>24</v>
      </c>
      <c r="G312" s="13"/>
      <c r="H312" s="1" t="s">
        <v>571</v>
      </c>
      <c r="I312" s="24" t="s">
        <v>59</v>
      </c>
      <c r="J312" s="25">
        <v>92346.0</v>
      </c>
      <c r="K312" s="26">
        <v>0.20902777777777778</v>
      </c>
      <c r="L312" s="1" t="s">
        <v>500</v>
      </c>
      <c r="M312" s="1">
        <f t="shared" si="14"/>
        <v>5</v>
      </c>
      <c r="N312" s="1">
        <f t="shared" si="15"/>
        <v>1</v>
      </c>
      <c r="O312" s="1" t="str">
        <f t="shared" si="3"/>
        <v>51</v>
      </c>
      <c r="P312" s="1" t="str">
        <f t="shared" si="4"/>
        <v>WIN</v>
      </c>
      <c r="Q312" s="1">
        <f t="shared" si="5"/>
        <v>1</v>
      </c>
    </row>
    <row r="313" ht="15.75" customHeight="1">
      <c r="A313" s="24" t="s">
        <v>147</v>
      </c>
      <c r="B313" s="18" t="s">
        <v>573</v>
      </c>
      <c r="C313" s="10" t="s">
        <v>23</v>
      </c>
      <c r="D313" s="19">
        <v>43565.0</v>
      </c>
      <c r="E313" s="22">
        <v>0.875</v>
      </c>
      <c r="F313" s="23" t="s">
        <v>19</v>
      </c>
      <c r="G313" s="13"/>
      <c r="H313" s="1" t="s">
        <v>341</v>
      </c>
      <c r="I313" s="24" t="s">
        <v>59</v>
      </c>
      <c r="J313" s="25">
        <v>74093.0</v>
      </c>
      <c r="K313" s="26">
        <v>6.944444444444445E-4</v>
      </c>
      <c r="L313" s="1" t="s">
        <v>500</v>
      </c>
      <c r="M313" s="1">
        <f t="shared" si="14"/>
        <v>0</v>
      </c>
      <c r="N313" s="1">
        <f t="shared" si="15"/>
        <v>1</v>
      </c>
      <c r="O313" s="1" t="str">
        <f t="shared" si="3"/>
        <v>01</v>
      </c>
      <c r="P313" s="1" t="str">
        <f t="shared" si="4"/>
        <v>WIN</v>
      </c>
      <c r="Q313" s="1">
        <f t="shared" si="5"/>
        <v>1</v>
      </c>
    </row>
    <row r="314" ht="15.75" customHeight="1">
      <c r="A314" s="24" t="s">
        <v>149</v>
      </c>
      <c r="B314" s="18" t="s">
        <v>574</v>
      </c>
      <c r="C314" s="10" t="s">
        <v>26</v>
      </c>
      <c r="D314" s="19">
        <v>43571.0</v>
      </c>
      <c r="E314" s="22">
        <v>0.875</v>
      </c>
      <c r="F314" s="23" t="s">
        <v>24</v>
      </c>
      <c r="G314" s="13"/>
      <c r="H314" s="1" t="s">
        <v>341</v>
      </c>
      <c r="I314" s="24" t="s">
        <v>59</v>
      </c>
      <c r="J314" s="25">
        <v>96708.0</v>
      </c>
      <c r="K314" s="26">
        <v>0.125</v>
      </c>
      <c r="L314" s="1" t="s">
        <v>500</v>
      </c>
      <c r="M314" s="1">
        <f t="shared" si="14"/>
        <v>3</v>
      </c>
      <c r="N314" s="1">
        <f t="shared" si="15"/>
        <v>0</v>
      </c>
      <c r="O314" s="1" t="str">
        <f t="shared" si="3"/>
        <v>30</v>
      </c>
      <c r="P314" s="1" t="str">
        <f t="shared" si="4"/>
        <v>WIN</v>
      </c>
      <c r="Q314" s="1">
        <f t="shared" si="5"/>
        <v>1</v>
      </c>
    </row>
    <row r="315" ht="15.75" customHeight="1">
      <c r="A315" s="24" t="s">
        <v>151</v>
      </c>
      <c r="B315" s="18" t="s">
        <v>575</v>
      </c>
      <c r="C315" s="10" t="s">
        <v>23</v>
      </c>
      <c r="D315" s="19">
        <v>43586.0</v>
      </c>
      <c r="E315" s="22">
        <v>0.875</v>
      </c>
      <c r="F315" s="23" t="s">
        <v>24</v>
      </c>
      <c r="G315" s="13"/>
      <c r="H315" s="1" t="s">
        <v>576</v>
      </c>
      <c r="I315" s="24" t="s">
        <v>59</v>
      </c>
      <c r="J315" s="25">
        <v>98299.0</v>
      </c>
      <c r="K315" s="26">
        <v>0.125</v>
      </c>
      <c r="L315" s="1" t="s">
        <v>500</v>
      </c>
      <c r="M315" s="1">
        <f t="shared" si="14"/>
        <v>3</v>
      </c>
      <c r="N315" s="1">
        <f t="shared" si="15"/>
        <v>0</v>
      </c>
      <c r="O315" s="1" t="str">
        <f t="shared" si="3"/>
        <v>30</v>
      </c>
      <c r="P315" s="1" t="str">
        <f t="shared" si="4"/>
        <v>WIN</v>
      </c>
      <c r="Q315" s="1">
        <f t="shared" si="5"/>
        <v>1</v>
      </c>
    </row>
    <row r="316" ht="15.75" customHeight="1">
      <c r="A316" s="24" t="s">
        <v>154</v>
      </c>
      <c r="B316" s="18" t="s">
        <v>577</v>
      </c>
      <c r="C316" s="10" t="s">
        <v>26</v>
      </c>
      <c r="D316" s="19">
        <v>43592.0</v>
      </c>
      <c r="E316" s="22">
        <v>0.875</v>
      </c>
      <c r="F316" s="23" t="s">
        <v>19</v>
      </c>
      <c r="G316" s="13"/>
      <c r="H316" s="1" t="s">
        <v>576</v>
      </c>
      <c r="I316" s="24" t="s">
        <v>483</v>
      </c>
      <c r="J316" s="25">
        <v>52212.0</v>
      </c>
      <c r="K316" s="26">
        <v>0.16666666666666666</v>
      </c>
      <c r="L316" s="1" t="s">
        <v>500</v>
      </c>
      <c r="M316" s="1">
        <f t="shared" si="14"/>
        <v>4</v>
      </c>
      <c r="N316" s="1">
        <f t="shared" si="15"/>
        <v>0</v>
      </c>
      <c r="O316" s="1" t="str">
        <f t="shared" si="3"/>
        <v>40</v>
      </c>
      <c r="P316" s="1" t="str">
        <f t="shared" si="4"/>
        <v>LOSS</v>
      </c>
      <c r="Q316" s="1">
        <f t="shared" si="5"/>
        <v>-1</v>
      </c>
    </row>
    <row r="317" ht="15.75" customHeight="1">
      <c r="A317" s="24" t="s">
        <v>339</v>
      </c>
      <c r="B317" s="18" t="s">
        <v>578</v>
      </c>
      <c r="C317" s="10" t="s">
        <v>23</v>
      </c>
      <c r="D317" s="21">
        <v>43404.0</v>
      </c>
      <c r="E317" s="22">
        <v>0.8958333333333334</v>
      </c>
      <c r="F317" s="23" t="s">
        <v>19</v>
      </c>
      <c r="G317" s="13"/>
      <c r="H317" s="1" t="s">
        <v>579</v>
      </c>
      <c r="I317" s="24" t="s">
        <v>59</v>
      </c>
      <c r="J317" s="25">
        <v>10873.0</v>
      </c>
      <c r="K317" s="26">
        <v>6.944444444444445E-4</v>
      </c>
      <c r="L317" s="1" t="s">
        <v>500</v>
      </c>
      <c r="M317" s="1">
        <f t="shared" si="14"/>
        <v>0</v>
      </c>
      <c r="N317" s="1">
        <f t="shared" si="15"/>
        <v>1</v>
      </c>
      <c r="O317" s="1" t="str">
        <f t="shared" si="3"/>
        <v>01</v>
      </c>
      <c r="P317" s="1" t="str">
        <f t="shared" si="4"/>
        <v>WIN</v>
      </c>
      <c r="Q317" s="1">
        <f t="shared" si="5"/>
        <v>1</v>
      </c>
    </row>
    <row r="318" ht="15.75" customHeight="1">
      <c r="A318" s="24" t="s">
        <v>342</v>
      </c>
      <c r="B318" s="18" t="s">
        <v>580</v>
      </c>
      <c r="C318" s="10" t="s">
        <v>23</v>
      </c>
      <c r="D318" s="19">
        <v>43439.0</v>
      </c>
      <c r="E318" s="22">
        <v>0.8958333333333334</v>
      </c>
      <c r="F318" s="23" t="s">
        <v>24</v>
      </c>
      <c r="G318" s="13"/>
      <c r="H318" s="1" t="s">
        <v>579</v>
      </c>
      <c r="I318" s="24" t="s">
        <v>59</v>
      </c>
      <c r="J318" s="25">
        <v>76398.0</v>
      </c>
      <c r="K318" s="26">
        <v>0.1673611111111111</v>
      </c>
      <c r="L318" s="1" t="s">
        <v>500</v>
      </c>
      <c r="M318" s="1">
        <f t="shared" si="14"/>
        <v>4</v>
      </c>
      <c r="N318" s="1">
        <f t="shared" si="15"/>
        <v>1</v>
      </c>
      <c r="O318" s="1" t="str">
        <f t="shared" si="3"/>
        <v>41</v>
      </c>
      <c r="P318" s="1" t="str">
        <f t="shared" si="4"/>
        <v>WIN</v>
      </c>
      <c r="Q318" s="1">
        <f t="shared" si="5"/>
        <v>1</v>
      </c>
    </row>
    <row r="319" ht="15.75" customHeight="1">
      <c r="A319" s="24" t="s">
        <v>143</v>
      </c>
      <c r="B319" s="18" t="s">
        <v>581</v>
      </c>
      <c r="C319" s="10" t="s">
        <v>18</v>
      </c>
      <c r="D319" s="19">
        <v>43475.0</v>
      </c>
      <c r="E319" s="22">
        <v>0.8958333333333334</v>
      </c>
      <c r="F319" s="23" t="s">
        <v>19</v>
      </c>
      <c r="G319" s="13"/>
      <c r="H319" s="1" t="s">
        <v>582</v>
      </c>
      <c r="I319" s="24" t="s">
        <v>59</v>
      </c>
      <c r="J319" s="25">
        <v>17614.0</v>
      </c>
      <c r="K319" s="26">
        <v>0.08402777777777778</v>
      </c>
      <c r="L319" s="1" t="s">
        <v>500</v>
      </c>
      <c r="M319" s="1">
        <f t="shared" si="14"/>
        <v>2</v>
      </c>
      <c r="N319" s="1">
        <f t="shared" si="15"/>
        <v>1</v>
      </c>
      <c r="O319" s="1" t="str">
        <f t="shared" si="3"/>
        <v>21</v>
      </c>
      <c r="P319" s="1" t="str">
        <f t="shared" si="4"/>
        <v>LOSS</v>
      </c>
      <c r="Q319" s="1">
        <f t="shared" si="5"/>
        <v>-1</v>
      </c>
    </row>
    <row r="320" ht="15.75" customHeight="1">
      <c r="A320" s="24" t="s">
        <v>145</v>
      </c>
      <c r="B320" s="18" t="s">
        <v>583</v>
      </c>
      <c r="C320" s="10" t="s">
        <v>18</v>
      </c>
      <c r="D320" s="19">
        <v>43482.0</v>
      </c>
      <c r="E320" s="22">
        <v>0.8958333333333334</v>
      </c>
      <c r="F320" s="23" t="s">
        <v>24</v>
      </c>
      <c r="G320" s="13"/>
      <c r="H320" s="1" t="s">
        <v>582</v>
      </c>
      <c r="I320" s="24" t="s">
        <v>59</v>
      </c>
      <c r="J320" s="25">
        <v>42838.0</v>
      </c>
      <c r="K320" s="26">
        <v>0.125</v>
      </c>
      <c r="L320" s="1" t="s">
        <v>500</v>
      </c>
      <c r="M320" s="1">
        <f t="shared" si="14"/>
        <v>3</v>
      </c>
      <c r="N320" s="1">
        <f t="shared" si="15"/>
        <v>0</v>
      </c>
      <c r="O320" s="1" t="str">
        <f t="shared" si="3"/>
        <v>30</v>
      </c>
      <c r="P320" s="1" t="str">
        <f t="shared" si="4"/>
        <v>WIN</v>
      </c>
      <c r="Q320" s="1">
        <f t="shared" si="5"/>
        <v>1</v>
      </c>
    </row>
    <row r="321" ht="15.75" customHeight="1">
      <c r="A321" s="24" t="s">
        <v>147</v>
      </c>
      <c r="B321" s="18" t="s">
        <v>584</v>
      </c>
      <c r="C321" s="10" t="s">
        <v>23</v>
      </c>
      <c r="D321" s="19">
        <v>43488.0</v>
      </c>
      <c r="E321" s="22">
        <v>0.8958333333333334</v>
      </c>
      <c r="F321" s="23" t="s">
        <v>19</v>
      </c>
      <c r="G321" s="13"/>
      <c r="H321" s="1" t="s">
        <v>585</v>
      </c>
      <c r="I321" s="24" t="s">
        <v>59</v>
      </c>
      <c r="J321" s="25">
        <v>38403.0</v>
      </c>
      <c r="K321" s="26">
        <v>0.08333333333333333</v>
      </c>
      <c r="L321" s="1" t="s">
        <v>500</v>
      </c>
      <c r="M321" s="1">
        <f t="shared" si="14"/>
        <v>2</v>
      </c>
      <c r="N321" s="1">
        <f t="shared" si="15"/>
        <v>0</v>
      </c>
      <c r="O321" s="1" t="str">
        <f t="shared" si="3"/>
        <v>20</v>
      </c>
      <c r="P321" s="1" t="str">
        <f t="shared" si="4"/>
        <v>LOSS</v>
      </c>
      <c r="Q321" s="1">
        <f t="shared" si="5"/>
        <v>-1</v>
      </c>
    </row>
    <row r="322" ht="15.75" customHeight="1">
      <c r="A322" s="24" t="s">
        <v>149</v>
      </c>
      <c r="B322" s="18" t="s">
        <v>586</v>
      </c>
      <c r="C322" s="10" t="s">
        <v>23</v>
      </c>
      <c r="D322" s="19">
        <v>43495.0</v>
      </c>
      <c r="E322" s="22">
        <v>0.8958333333333334</v>
      </c>
      <c r="F322" s="23" t="s">
        <v>24</v>
      </c>
      <c r="G322" s="13"/>
      <c r="H322" s="1" t="s">
        <v>585</v>
      </c>
      <c r="I322" s="24" t="s">
        <v>59</v>
      </c>
      <c r="J322" s="25">
        <v>58050.0</v>
      </c>
      <c r="K322" s="26">
        <v>0.25069444444444444</v>
      </c>
      <c r="L322" s="1" t="s">
        <v>500</v>
      </c>
      <c r="M322" s="1">
        <f t="shared" si="14"/>
        <v>6</v>
      </c>
      <c r="N322" s="1">
        <f t="shared" si="15"/>
        <v>1</v>
      </c>
      <c r="O322" s="1" t="str">
        <f t="shared" si="3"/>
        <v>61</v>
      </c>
      <c r="P322" s="1" t="str">
        <f t="shared" si="4"/>
        <v>WIN</v>
      </c>
      <c r="Q322" s="1">
        <f t="shared" si="5"/>
        <v>1</v>
      </c>
    </row>
    <row r="323" ht="15.75" customHeight="1">
      <c r="A323" s="24" t="s">
        <v>151</v>
      </c>
      <c r="B323" s="18" t="s">
        <v>587</v>
      </c>
      <c r="C323" s="10" t="s">
        <v>23</v>
      </c>
      <c r="D323" s="19">
        <v>43502.0</v>
      </c>
      <c r="E323" s="22">
        <v>0.875</v>
      </c>
      <c r="F323" s="23" t="s">
        <v>24</v>
      </c>
      <c r="G323" s="13"/>
      <c r="H323" s="1" t="s">
        <v>171</v>
      </c>
      <c r="I323" s="24" t="s">
        <v>59</v>
      </c>
      <c r="J323" s="25">
        <v>92008.0</v>
      </c>
      <c r="K323" s="26">
        <v>0.04236111111111111</v>
      </c>
      <c r="L323" s="1" t="s">
        <v>500</v>
      </c>
      <c r="M323" s="1">
        <f t="shared" si="14"/>
        <v>1</v>
      </c>
      <c r="N323" s="1">
        <f t="shared" si="15"/>
        <v>1</v>
      </c>
      <c r="O323" s="1" t="str">
        <f t="shared" si="3"/>
        <v>11</v>
      </c>
      <c r="P323" s="1" t="str">
        <f t="shared" si="4"/>
        <v>DRAW</v>
      </c>
      <c r="Q323" s="1">
        <f t="shared" si="5"/>
        <v>0</v>
      </c>
    </row>
    <row r="324" ht="15.75" customHeight="1">
      <c r="A324" s="24" t="s">
        <v>154</v>
      </c>
      <c r="B324" s="18" t="s">
        <v>588</v>
      </c>
      <c r="C324" s="10" t="s">
        <v>23</v>
      </c>
      <c r="D324" s="19">
        <v>43523.0</v>
      </c>
      <c r="E324" s="22">
        <v>0.875</v>
      </c>
      <c r="F324" s="23" t="s">
        <v>19</v>
      </c>
      <c r="G324" s="13"/>
      <c r="H324" s="1" t="s">
        <v>171</v>
      </c>
      <c r="I324" s="24" t="s">
        <v>483</v>
      </c>
      <c r="J324" s="25">
        <v>80472.0</v>
      </c>
      <c r="K324" s="26">
        <v>0.0020833333333333333</v>
      </c>
      <c r="L324" s="1" t="s">
        <v>500</v>
      </c>
      <c r="M324" s="1">
        <f t="shared" si="14"/>
        <v>0</v>
      </c>
      <c r="N324" s="1">
        <f t="shared" si="15"/>
        <v>3</v>
      </c>
      <c r="O324" s="1" t="str">
        <f t="shared" si="3"/>
        <v>03</v>
      </c>
      <c r="P324" s="1" t="str">
        <f t="shared" si="4"/>
        <v>WIN</v>
      </c>
      <c r="Q324" s="1">
        <f t="shared" si="5"/>
        <v>1</v>
      </c>
    </row>
    <row r="325" ht="15.75" customHeight="1">
      <c r="A325" s="24" t="s">
        <v>169</v>
      </c>
      <c r="B325" s="18" t="s">
        <v>589</v>
      </c>
      <c r="C325" s="10" t="s">
        <v>32</v>
      </c>
      <c r="D325" s="19">
        <v>43610.0</v>
      </c>
      <c r="E325" s="22">
        <v>0.875</v>
      </c>
      <c r="F325" s="23" t="s">
        <v>24</v>
      </c>
      <c r="G325" s="13"/>
      <c r="H325" s="1" t="s">
        <v>165</v>
      </c>
      <c r="I325" s="24" t="s">
        <v>59</v>
      </c>
      <c r="J325" s="25">
        <v>53698.0</v>
      </c>
      <c r="K325" s="26">
        <v>0.043055555555555555</v>
      </c>
      <c r="L325" s="1" t="s">
        <v>500</v>
      </c>
      <c r="M325" s="1">
        <f t="shared" si="14"/>
        <v>1</v>
      </c>
      <c r="N325" s="1">
        <f t="shared" si="15"/>
        <v>2</v>
      </c>
      <c r="O325" s="1" t="str">
        <f t="shared" si="3"/>
        <v>12</v>
      </c>
      <c r="P325" s="1" t="str">
        <f t="shared" si="4"/>
        <v>LOSS</v>
      </c>
      <c r="Q325" s="1">
        <f t="shared" si="5"/>
        <v>-1</v>
      </c>
    </row>
    <row r="326" ht="15.75" customHeight="1">
      <c r="A326" s="1">
        <v>1.0</v>
      </c>
      <c r="B326" s="18" t="s">
        <v>590</v>
      </c>
      <c r="C326" s="10" t="s">
        <v>29</v>
      </c>
      <c r="D326" s="19">
        <v>42967.0</v>
      </c>
      <c r="E326" s="22">
        <v>0.84375</v>
      </c>
      <c r="F326" s="23" t="s">
        <v>24</v>
      </c>
      <c r="G326" s="13" t="s">
        <v>30</v>
      </c>
      <c r="H326" s="1" t="s">
        <v>111</v>
      </c>
      <c r="I326" s="24" t="s">
        <v>59</v>
      </c>
      <c r="J326" s="25">
        <v>54560.0</v>
      </c>
      <c r="K326" s="26">
        <v>0.08333333333333333</v>
      </c>
      <c r="L326" s="1" t="s">
        <v>591</v>
      </c>
      <c r="M326" s="1">
        <f t="shared" si="14"/>
        <v>2</v>
      </c>
      <c r="N326" s="1">
        <f t="shared" si="15"/>
        <v>0</v>
      </c>
      <c r="O326" s="1" t="str">
        <f t="shared" si="3"/>
        <v>20</v>
      </c>
      <c r="P326" s="1" t="str">
        <f t="shared" si="4"/>
        <v>WIN</v>
      </c>
      <c r="Q326" s="1">
        <f t="shared" si="5"/>
        <v>1</v>
      </c>
    </row>
    <row r="327" ht="15.75" customHeight="1">
      <c r="A327" s="1">
        <v>2.0</v>
      </c>
      <c r="B327" s="18" t="s">
        <v>592</v>
      </c>
      <c r="C327" s="10" t="s">
        <v>32</v>
      </c>
      <c r="D327" s="19">
        <v>42973.0</v>
      </c>
      <c r="E327" s="22">
        <v>0.7604166666666666</v>
      </c>
      <c r="F327" s="23" t="s">
        <v>19</v>
      </c>
      <c r="G327" s="13" t="s">
        <v>33</v>
      </c>
      <c r="H327" s="1" t="s">
        <v>593</v>
      </c>
      <c r="I327" s="24" t="s">
        <v>59</v>
      </c>
      <c r="J327" s="25">
        <v>14934.0</v>
      </c>
      <c r="K327" s="26">
        <v>0.001388888888888889</v>
      </c>
      <c r="L327" s="1" t="s">
        <v>591</v>
      </c>
      <c r="M327" s="1">
        <f t="shared" si="14"/>
        <v>0</v>
      </c>
      <c r="N327" s="1">
        <f t="shared" si="15"/>
        <v>2</v>
      </c>
      <c r="O327" s="1" t="str">
        <f t="shared" si="3"/>
        <v>02</v>
      </c>
      <c r="P327" s="1" t="str">
        <f t="shared" si="4"/>
        <v>WIN</v>
      </c>
      <c r="Q327" s="1">
        <f t="shared" si="5"/>
        <v>1</v>
      </c>
    </row>
    <row r="328" ht="15.75" customHeight="1">
      <c r="A328" s="1">
        <v>3.0</v>
      </c>
      <c r="B328" s="18" t="s">
        <v>594</v>
      </c>
      <c r="C328" s="10" t="s">
        <v>32</v>
      </c>
      <c r="D328" s="19">
        <v>42987.0</v>
      </c>
      <c r="E328" s="22">
        <v>0.8645833333333334</v>
      </c>
      <c r="F328" s="23" t="s">
        <v>24</v>
      </c>
      <c r="G328" s="13" t="s">
        <v>33</v>
      </c>
      <c r="H328" s="1" t="s">
        <v>398</v>
      </c>
      <c r="I328" s="24" t="s">
        <v>483</v>
      </c>
      <c r="J328" s="25">
        <v>72857.0</v>
      </c>
      <c r="K328" s="26">
        <v>0.20833333333333334</v>
      </c>
      <c r="L328" s="1" t="s">
        <v>591</v>
      </c>
      <c r="M328" s="1">
        <f t="shared" si="14"/>
        <v>5</v>
      </c>
      <c r="N328" s="1">
        <f t="shared" si="15"/>
        <v>0</v>
      </c>
      <c r="O328" s="1" t="str">
        <f t="shared" si="3"/>
        <v>50</v>
      </c>
      <c r="P328" s="1" t="str">
        <f t="shared" si="4"/>
        <v>WIN</v>
      </c>
      <c r="Q328" s="1">
        <f t="shared" si="5"/>
        <v>1</v>
      </c>
    </row>
    <row r="329" ht="15.75" customHeight="1">
      <c r="A329" s="1">
        <v>4.0</v>
      </c>
      <c r="B329" s="18" t="s">
        <v>595</v>
      </c>
      <c r="C329" s="10" t="s">
        <v>32</v>
      </c>
      <c r="D329" s="19">
        <v>42994.0</v>
      </c>
      <c r="E329" s="22">
        <v>0.6770833333333334</v>
      </c>
      <c r="F329" s="23" t="s">
        <v>19</v>
      </c>
      <c r="G329" s="13" t="s">
        <v>30</v>
      </c>
      <c r="H329" s="1" t="s">
        <v>222</v>
      </c>
      <c r="I329" s="24" t="s">
        <v>59</v>
      </c>
      <c r="J329" s="25">
        <v>14922.0</v>
      </c>
      <c r="K329" s="26">
        <v>0.043055555555555555</v>
      </c>
      <c r="L329" s="1" t="s">
        <v>591</v>
      </c>
      <c r="M329" s="1">
        <f t="shared" si="14"/>
        <v>1</v>
      </c>
      <c r="N329" s="1">
        <f t="shared" si="15"/>
        <v>2</v>
      </c>
      <c r="O329" s="1" t="str">
        <f t="shared" si="3"/>
        <v>12</v>
      </c>
      <c r="P329" s="1" t="str">
        <f t="shared" si="4"/>
        <v>WIN</v>
      </c>
      <c r="Q329" s="1">
        <f t="shared" si="5"/>
        <v>1</v>
      </c>
    </row>
    <row r="330" ht="15.75" customHeight="1">
      <c r="A330" s="1">
        <v>5.0</v>
      </c>
      <c r="B330" s="18" t="s">
        <v>596</v>
      </c>
      <c r="C330" s="10" t="s">
        <v>26</v>
      </c>
      <c r="D330" s="19">
        <v>42997.0</v>
      </c>
      <c r="E330" s="22">
        <v>0.9166666666666666</v>
      </c>
      <c r="F330" s="23" t="s">
        <v>24</v>
      </c>
      <c r="G330" s="13" t="s">
        <v>30</v>
      </c>
      <c r="H330" s="1" t="s">
        <v>597</v>
      </c>
      <c r="I330" s="24" t="s">
        <v>59</v>
      </c>
      <c r="J330" s="25">
        <v>49693.0</v>
      </c>
      <c r="K330" s="26">
        <v>0.25069444444444444</v>
      </c>
      <c r="L330" s="1" t="s">
        <v>591</v>
      </c>
      <c r="M330" s="1">
        <f t="shared" si="14"/>
        <v>6</v>
      </c>
      <c r="N330" s="1">
        <f t="shared" si="15"/>
        <v>1</v>
      </c>
      <c r="O330" s="1" t="str">
        <f t="shared" si="3"/>
        <v>61</v>
      </c>
      <c r="P330" s="1" t="str">
        <f t="shared" si="4"/>
        <v>WIN</v>
      </c>
      <c r="Q330" s="1">
        <f t="shared" si="5"/>
        <v>1</v>
      </c>
    </row>
    <row r="331" ht="15.75" customHeight="1">
      <c r="A331" s="1">
        <v>6.0</v>
      </c>
      <c r="B331" s="18" t="s">
        <v>598</v>
      </c>
      <c r="C331" s="10" t="s">
        <v>32</v>
      </c>
      <c r="D331" s="19">
        <v>43001.0</v>
      </c>
      <c r="E331" s="22">
        <v>0.8645833333333334</v>
      </c>
      <c r="F331" s="23" t="s">
        <v>19</v>
      </c>
      <c r="G331" s="13" t="s">
        <v>30</v>
      </c>
      <c r="H331" s="1" t="s">
        <v>599</v>
      </c>
      <c r="I331" s="45">
        <v>37350.0</v>
      </c>
      <c r="J331" s="27">
        <v>13500.0</v>
      </c>
      <c r="K331" s="26">
        <v>0.0020833333333333333</v>
      </c>
      <c r="L331" s="1" t="s">
        <v>591</v>
      </c>
      <c r="M331" s="1">
        <f t="shared" si="14"/>
        <v>0</v>
      </c>
      <c r="N331" s="1">
        <f t="shared" si="15"/>
        <v>3</v>
      </c>
      <c r="O331" s="1" t="str">
        <f t="shared" si="3"/>
        <v>03</v>
      </c>
      <c r="P331" s="1" t="str">
        <f t="shared" si="4"/>
        <v>WIN</v>
      </c>
      <c r="Q331" s="1">
        <f t="shared" si="5"/>
        <v>1</v>
      </c>
    </row>
    <row r="332" ht="15.75" customHeight="1">
      <c r="A332" s="1">
        <v>7.0</v>
      </c>
      <c r="B332" s="18" t="s">
        <v>600</v>
      </c>
      <c r="C332" s="10" t="s">
        <v>29</v>
      </c>
      <c r="D332" s="19">
        <v>43009.0</v>
      </c>
      <c r="E332" s="22">
        <v>0.6770833333333334</v>
      </c>
      <c r="F332" s="23" t="s">
        <v>24</v>
      </c>
      <c r="G332" s="13" t="s">
        <v>30</v>
      </c>
      <c r="H332" s="1" t="s">
        <v>601</v>
      </c>
      <c r="I332" s="45">
        <v>37350.0</v>
      </c>
      <c r="J332" s="14">
        <v>0.0</v>
      </c>
      <c r="K332" s="26">
        <v>0.125</v>
      </c>
      <c r="L332" s="1" t="s">
        <v>591</v>
      </c>
      <c r="M332" s="1">
        <f t="shared" si="14"/>
        <v>3</v>
      </c>
      <c r="N332" s="1">
        <f t="shared" si="15"/>
        <v>0</v>
      </c>
      <c r="O332" s="1" t="str">
        <f t="shared" si="3"/>
        <v>30</v>
      </c>
      <c r="P332" s="1" t="str">
        <f t="shared" si="4"/>
        <v>WIN</v>
      </c>
      <c r="Q332" s="1">
        <f t="shared" si="5"/>
        <v>1</v>
      </c>
    </row>
    <row r="333" ht="15.75" customHeight="1">
      <c r="A333" s="1">
        <v>8.0</v>
      </c>
      <c r="B333" s="18" t="s">
        <v>602</v>
      </c>
      <c r="C333" s="10" t="s">
        <v>32</v>
      </c>
      <c r="D333" s="21">
        <v>43022.0</v>
      </c>
      <c r="E333" s="22">
        <v>0.8645833333333334</v>
      </c>
      <c r="F333" s="23" t="s">
        <v>19</v>
      </c>
      <c r="G333" s="13" t="s">
        <v>30</v>
      </c>
      <c r="H333" s="1" t="s">
        <v>227</v>
      </c>
      <c r="I333" s="24" t="s">
        <v>483</v>
      </c>
      <c r="J333" s="25">
        <v>64393.0</v>
      </c>
      <c r="K333" s="26">
        <v>0.04236111111111111</v>
      </c>
      <c r="L333" s="1" t="s">
        <v>591</v>
      </c>
      <c r="M333" s="1">
        <f t="shared" si="14"/>
        <v>1</v>
      </c>
      <c r="N333" s="1">
        <f t="shared" si="15"/>
        <v>1</v>
      </c>
      <c r="O333" s="1" t="str">
        <f t="shared" si="3"/>
        <v>11</v>
      </c>
      <c r="P333" s="1" t="str">
        <f t="shared" si="4"/>
        <v>DRAW</v>
      </c>
      <c r="Q333" s="1">
        <f t="shared" si="5"/>
        <v>0</v>
      </c>
    </row>
    <row r="334" ht="15.75" customHeight="1">
      <c r="A334" s="1">
        <v>9.0</v>
      </c>
      <c r="B334" s="18" t="s">
        <v>603</v>
      </c>
      <c r="C334" s="10" t="s">
        <v>32</v>
      </c>
      <c r="D334" s="21">
        <v>43029.0</v>
      </c>
      <c r="E334" s="22">
        <v>0.8645833333333334</v>
      </c>
      <c r="F334" s="23" t="s">
        <v>24</v>
      </c>
      <c r="G334" s="13" t="s">
        <v>30</v>
      </c>
      <c r="H334" s="1" t="s">
        <v>604</v>
      </c>
      <c r="I334" s="24" t="s">
        <v>59</v>
      </c>
      <c r="J334" s="25">
        <v>74397.0</v>
      </c>
      <c r="K334" s="26">
        <v>0.08333333333333333</v>
      </c>
      <c r="L334" s="1" t="s">
        <v>591</v>
      </c>
      <c r="M334" s="1">
        <f t="shared" si="14"/>
        <v>2</v>
      </c>
      <c r="N334" s="1">
        <f t="shared" si="15"/>
        <v>0</v>
      </c>
      <c r="O334" s="1" t="str">
        <f t="shared" si="3"/>
        <v>20</v>
      </c>
      <c r="P334" s="1" t="str">
        <f t="shared" si="4"/>
        <v>WIN</v>
      </c>
      <c r="Q334" s="1">
        <f t="shared" si="5"/>
        <v>1</v>
      </c>
    </row>
    <row r="335" ht="15.75" customHeight="1">
      <c r="A335" s="1">
        <v>10.0</v>
      </c>
      <c r="B335" s="18" t="s">
        <v>605</v>
      </c>
      <c r="C335" s="10" t="s">
        <v>32</v>
      </c>
      <c r="D335" s="21">
        <v>43036.0</v>
      </c>
      <c r="E335" s="22">
        <v>0.8645833333333334</v>
      </c>
      <c r="F335" s="23" t="s">
        <v>19</v>
      </c>
      <c r="G335" s="13" t="s">
        <v>30</v>
      </c>
      <c r="H335" s="1" t="s">
        <v>356</v>
      </c>
      <c r="I335" s="45">
        <v>37350.0</v>
      </c>
      <c r="J335" s="25">
        <v>43570.0</v>
      </c>
      <c r="K335" s="26">
        <v>0.001388888888888889</v>
      </c>
      <c r="L335" s="1" t="s">
        <v>591</v>
      </c>
      <c r="M335" s="1">
        <f t="shared" si="14"/>
        <v>0</v>
      </c>
      <c r="N335" s="1">
        <f t="shared" si="15"/>
        <v>2</v>
      </c>
      <c r="O335" s="1" t="str">
        <f t="shared" si="3"/>
        <v>02</v>
      </c>
      <c r="P335" s="1" t="str">
        <f t="shared" si="4"/>
        <v>WIN</v>
      </c>
      <c r="Q335" s="1">
        <f t="shared" si="5"/>
        <v>1</v>
      </c>
    </row>
    <row r="336" ht="15.75" customHeight="1">
      <c r="A336" s="1">
        <v>11.0</v>
      </c>
      <c r="B336" s="18" t="s">
        <v>606</v>
      </c>
      <c r="C336" s="10" t="s">
        <v>32</v>
      </c>
      <c r="D336" s="19">
        <v>43043.0</v>
      </c>
      <c r="E336" s="22">
        <v>0.8645833333333334</v>
      </c>
      <c r="F336" s="23" t="s">
        <v>24</v>
      </c>
      <c r="G336" s="13" t="s">
        <v>30</v>
      </c>
      <c r="H336" s="1" t="s">
        <v>607</v>
      </c>
      <c r="I336" s="24" t="s">
        <v>59</v>
      </c>
      <c r="J336" s="25">
        <v>70723.0</v>
      </c>
      <c r="K336" s="26">
        <v>0.08402777777777778</v>
      </c>
      <c r="L336" s="1" t="s">
        <v>591</v>
      </c>
      <c r="M336" s="1">
        <f t="shared" si="14"/>
        <v>2</v>
      </c>
      <c r="N336" s="1">
        <f t="shared" si="15"/>
        <v>1</v>
      </c>
      <c r="O336" s="1" t="str">
        <f t="shared" si="3"/>
        <v>21</v>
      </c>
      <c r="P336" s="1" t="str">
        <f t="shared" si="4"/>
        <v>WIN</v>
      </c>
      <c r="Q336" s="1">
        <f t="shared" si="5"/>
        <v>1</v>
      </c>
    </row>
    <row r="337" ht="15.75" customHeight="1">
      <c r="A337" s="1">
        <v>12.0</v>
      </c>
      <c r="B337" s="18" t="s">
        <v>608</v>
      </c>
      <c r="C337" s="10" t="s">
        <v>32</v>
      </c>
      <c r="D337" s="21">
        <v>43057.0</v>
      </c>
      <c r="E337" s="22">
        <v>0.6770833333333334</v>
      </c>
      <c r="F337" s="23" t="s">
        <v>19</v>
      </c>
      <c r="G337" s="13" t="s">
        <v>30</v>
      </c>
      <c r="H337" s="1" t="s">
        <v>609</v>
      </c>
      <c r="I337" s="24" t="s">
        <v>59</v>
      </c>
      <c r="J337" s="27">
        <v>11454.0</v>
      </c>
      <c r="K337" s="26">
        <v>0.0020833333333333333</v>
      </c>
      <c r="L337" s="1" t="s">
        <v>591</v>
      </c>
      <c r="M337" s="1">
        <f t="shared" si="14"/>
        <v>0</v>
      </c>
      <c r="N337" s="1">
        <f t="shared" si="15"/>
        <v>3</v>
      </c>
      <c r="O337" s="1" t="str">
        <f t="shared" si="3"/>
        <v>03</v>
      </c>
      <c r="P337" s="1" t="str">
        <f t="shared" si="4"/>
        <v>WIN</v>
      </c>
      <c r="Q337" s="1">
        <f t="shared" si="5"/>
        <v>1</v>
      </c>
    </row>
    <row r="338" ht="15.75" customHeight="1">
      <c r="A338" s="1">
        <v>13.0</v>
      </c>
      <c r="B338" s="18" t="s">
        <v>610</v>
      </c>
      <c r="C338" s="10" t="s">
        <v>29</v>
      </c>
      <c r="D338" s="21">
        <v>43065.0</v>
      </c>
      <c r="E338" s="22">
        <v>0.8645833333333334</v>
      </c>
      <c r="F338" s="23" t="s">
        <v>19</v>
      </c>
      <c r="G338" s="13" t="s">
        <v>30</v>
      </c>
      <c r="H338" s="1" t="s">
        <v>611</v>
      </c>
      <c r="I338" s="45">
        <v>37350.0</v>
      </c>
      <c r="J338" s="25">
        <v>47775.0</v>
      </c>
      <c r="K338" s="26">
        <v>0.04236111111111111</v>
      </c>
      <c r="L338" s="1" t="s">
        <v>591</v>
      </c>
      <c r="M338" s="1">
        <f t="shared" si="14"/>
        <v>1</v>
      </c>
      <c r="N338" s="1">
        <f t="shared" si="15"/>
        <v>1</v>
      </c>
      <c r="O338" s="1" t="str">
        <f t="shared" si="3"/>
        <v>11</v>
      </c>
      <c r="P338" s="1" t="str">
        <f t="shared" si="4"/>
        <v>DRAW</v>
      </c>
      <c r="Q338" s="1">
        <f t="shared" si="5"/>
        <v>0</v>
      </c>
    </row>
    <row r="339" ht="15.75" customHeight="1">
      <c r="A339" s="1">
        <v>14.0</v>
      </c>
      <c r="B339" s="18" t="s">
        <v>612</v>
      </c>
      <c r="C339" s="10" t="s">
        <v>32</v>
      </c>
      <c r="D339" s="19">
        <v>43071.0</v>
      </c>
      <c r="E339" s="22">
        <v>0.5416666666666666</v>
      </c>
      <c r="F339" s="23" t="s">
        <v>24</v>
      </c>
      <c r="G339" s="13" t="s">
        <v>30</v>
      </c>
      <c r="H339" s="1" t="s">
        <v>613</v>
      </c>
      <c r="I339" s="24" t="s">
        <v>614</v>
      </c>
      <c r="J339" s="25">
        <v>63208.0</v>
      </c>
      <c r="K339" s="26">
        <v>0.08472222222222223</v>
      </c>
      <c r="L339" s="1" t="s">
        <v>591</v>
      </c>
      <c r="M339" s="1">
        <f t="shared" si="14"/>
        <v>2</v>
      </c>
      <c r="N339" s="1">
        <f t="shared" si="15"/>
        <v>2</v>
      </c>
      <c r="O339" s="1" t="str">
        <f t="shared" si="3"/>
        <v>22</v>
      </c>
      <c r="P339" s="1" t="str">
        <f t="shared" si="4"/>
        <v>DRAW</v>
      </c>
      <c r="Q339" s="1">
        <f t="shared" si="5"/>
        <v>0</v>
      </c>
    </row>
    <row r="340" ht="15.75" customHeight="1">
      <c r="A340" s="1">
        <v>15.0</v>
      </c>
      <c r="B340" s="18" t="s">
        <v>615</v>
      </c>
      <c r="C340" s="10" t="s">
        <v>29</v>
      </c>
      <c r="D340" s="21">
        <v>43079.0</v>
      </c>
      <c r="E340" s="22">
        <v>0.8645833333333334</v>
      </c>
      <c r="F340" s="23" t="s">
        <v>19</v>
      </c>
      <c r="G340" s="13" t="s">
        <v>30</v>
      </c>
      <c r="H340" s="1" t="s">
        <v>303</v>
      </c>
      <c r="I340" s="24" t="s">
        <v>59</v>
      </c>
      <c r="J340" s="25">
        <v>21087.0</v>
      </c>
      <c r="K340" s="26">
        <v>0.001388888888888889</v>
      </c>
      <c r="L340" s="1" t="s">
        <v>591</v>
      </c>
      <c r="M340" s="1">
        <f t="shared" si="14"/>
        <v>0</v>
      </c>
      <c r="N340" s="1">
        <f t="shared" si="15"/>
        <v>2</v>
      </c>
      <c r="O340" s="1" t="str">
        <f t="shared" si="3"/>
        <v>02</v>
      </c>
      <c r="P340" s="1" t="str">
        <f t="shared" si="4"/>
        <v>WIN</v>
      </c>
      <c r="Q340" s="1">
        <f t="shared" si="5"/>
        <v>1</v>
      </c>
    </row>
    <row r="341" ht="15.75" customHeight="1">
      <c r="A341" s="1">
        <v>16.0</v>
      </c>
      <c r="B341" s="18" t="s">
        <v>616</v>
      </c>
      <c r="C341" s="10" t="s">
        <v>29</v>
      </c>
      <c r="D341" s="21">
        <v>43086.0</v>
      </c>
      <c r="E341" s="22">
        <v>0.8645833333333334</v>
      </c>
      <c r="F341" s="23" t="s">
        <v>24</v>
      </c>
      <c r="G341" s="13" t="s">
        <v>30</v>
      </c>
      <c r="H341" s="1" t="s">
        <v>617</v>
      </c>
      <c r="I341" s="24" t="s">
        <v>59</v>
      </c>
      <c r="J341" s="25">
        <v>53607.0</v>
      </c>
      <c r="K341" s="26">
        <v>0.16666666666666666</v>
      </c>
      <c r="L341" s="1" t="s">
        <v>591</v>
      </c>
      <c r="M341" s="1">
        <f t="shared" si="14"/>
        <v>4</v>
      </c>
      <c r="N341" s="1">
        <f t="shared" si="15"/>
        <v>0</v>
      </c>
      <c r="O341" s="1" t="str">
        <f t="shared" si="3"/>
        <v>40</v>
      </c>
      <c r="P341" s="1" t="str">
        <f t="shared" si="4"/>
        <v>WIN</v>
      </c>
      <c r="Q341" s="1">
        <f t="shared" si="5"/>
        <v>1</v>
      </c>
    </row>
    <row r="342" ht="15.75" customHeight="1">
      <c r="A342" s="1">
        <v>17.0</v>
      </c>
      <c r="B342" s="18" t="s">
        <v>618</v>
      </c>
      <c r="C342" s="10" t="s">
        <v>32</v>
      </c>
      <c r="D342" s="21">
        <v>43092.0</v>
      </c>
      <c r="E342" s="22">
        <v>0.5416666666666666</v>
      </c>
      <c r="F342" s="23" t="s">
        <v>19</v>
      </c>
      <c r="G342" s="13" t="s">
        <v>30</v>
      </c>
      <c r="H342" s="1" t="s">
        <v>543</v>
      </c>
      <c r="I342" s="45">
        <v>37350.0</v>
      </c>
      <c r="J342" s="25">
        <v>80264.0</v>
      </c>
      <c r="K342" s="26">
        <v>0.0020833333333333333</v>
      </c>
      <c r="L342" s="1" t="s">
        <v>591</v>
      </c>
      <c r="M342" s="1">
        <f t="shared" si="14"/>
        <v>0</v>
      </c>
      <c r="N342" s="1">
        <f t="shared" si="15"/>
        <v>3</v>
      </c>
      <c r="O342" s="1" t="str">
        <f t="shared" si="3"/>
        <v>03</v>
      </c>
      <c r="P342" s="1" t="str">
        <f t="shared" si="4"/>
        <v>WIN</v>
      </c>
      <c r="Q342" s="1">
        <f t="shared" si="5"/>
        <v>1</v>
      </c>
    </row>
    <row r="343" ht="15.75" customHeight="1">
      <c r="A343" s="1">
        <v>18.0</v>
      </c>
      <c r="B343" s="18" t="s">
        <v>619</v>
      </c>
      <c r="C343" s="10" t="s">
        <v>29</v>
      </c>
      <c r="D343" s="19">
        <v>43107.0</v>
      </c>
      <c r="E343" s="22">
        <v>0.6770833333333334</v>
      </c>
      <c r="F343" s="23" t="s">
        <v>24</v>
      </c>
      <c r="G343" s="13" t="s">
        <v>30</v>
      </c>
      <c r="H343" s="1" t="s">
        <v>620</v>
      </c>
      <c r="I343" s="24" t="s">
        <v>483</v>
      </c>
      <c r="J343" s="25">
        <v>56380.0</v>
      </c>
      <c r="K343" s="26">
        <v>0.125</v>
      </c>
      <c r="L343" s="1" t="s">
        <v>591</v>
      </c>
      <c r="M343" s="1">
        <f t="shared" si="14"/>
        <v>3</v>
      </c>
      <c r="N343" s="1">
        <f t="shared" si="15"/>
        <v>0</v>
      </c>
      <c r="O343" s="1" t="str">
        <f t="shared" si="3"/>
        <v>30</v>
      </c>
      <c r="P343" s="1" t="str">
        <f t="shared" si="4"/>
        <v>WIN</v>
      </c>
      <c r="Q343" s="1">
        <f t="shared" si="5"/>
        <v>1</v>
      </c>
    </row>
    <row r="344" ht="15.75" customHeight="1">
      <c r="A344" s="1">
        <v>19.0</v>
      </c>
      <c r="B344" s="18" t="s">
        <v>621</v>
      </c>
      <c r="C344" s="10" t="s">
        <v>29</v>
      </c>
      <c r="D344" s="19">
        <v>43114.0</v>
      </c>
      <c r="E344" s="22">
        <v>0.8645833333333334</v>
      </c>
      <c r="F344" s="23" t="s">
        <v>19</v>
      </c>
      <c r="G344" s="13" t="s">
        <v>30</v>
      </c>
      <c r="H344" s="1" t="s">
        <v>622</v>
      </c>
      <c r="I344" s="45">
        <v>37350.0</v>
      </c>
      <c r="J344" s="25">
        <v>23227.0</v>
      </c>
      <c r="K344" s="26">
        <v>0.08611111111111111</v>
      </c>
      <c r="L344" s="1" t="s">
        <v>591</v>
      </c>
      <c r="M344" s="1">
        <f t="shared" si="14"/>
        <v>2</v>
      </c>
      <c r="N344" s="1">
        <f t="shared" si="15"/>
        <v>4</v>
      </c>
      <c r="O344" s="1" t="str">
        <f t="shared" si="3"/>
        <v>24</v>
      </c>
      <c r="P344" s="1" t="str">
        <f t="shared" si="4"/>
        <v>WIN</v>
      </c>
      <c r="Q344" s="1">
        <f t="shared" si="5"/>
        <v>1</v>
      </c>
    </row>
    <row r="345" ht="15.75" customHeight="1">
      <c r="A345" s="1">
        <v>20.0</v>
      </c>
      <c r="B345" s="18" t="s">
        <v>623</v>
      </c>
      <c r="C345" s="10" t="s">
        <v>29</v>
      </c>
      <c r="D345" s="19">
        <v>43121.0</v>
      </c>
      <c r="E345" s="22">
        <v>0.8645833333333334</v>
      </c>
      <c r="F345" s="23" t="s">
        <v>19</v>
      </c>
      <c r="G345" s="13" t="s">
        <v>30</v>
      </c>
      <c r="H345" s="1" t="s">
        <v>546</v>
      </c>
      <c r="I345" s="45">
        <v>37350.0</v>
      </c>
      <c r="J345" s="25">
        <v>53426.0</v>
      </c>
      <c r="K345" s="26">
        <v>0.003472222222222222</v>
      </c>
      <c r="L345" s="1" t="s">
        <v>591</v>
      </c>
      <c r="M345" s="1">
        <f t="shared" si="14"/>
        <v>0</v>
      </c>
      <c r="N345" s="1">
        <f t="shared" si="15"/>
        <v>5</v>
      </c>
      <c r="O345" s="1" t="str">
        <f t="shared" si="3"/>
        <v>05</v>
      </c>
      <c r="P345" s="1" t="str">
        <f t="shared" si="4"/>
        <v>WIN</v>
      </c>
      <c r="Q345" s="1">
        <f t="shared" si="5"/>
        <v>1</v>
      </c>
    </row>
    <row r="346" ht="15.75" customHeight="1">
      <c r="A346" s="1">
        <v>21.0</v>
      </c>
      <c r="B346" s="18" t="s">
        <v>624</v>
      </c>
      <c r="C346" s="10" t="s">
        <v>29</v>
      </c>
      <c r="D346" s="19">
        <v>43128.0</v>
      </c>
      <c r="E346" s="22">
        <v>0.8645833333333334</v>
      </c>
      <c r="F346" s="23" t="s">
        <v>24</v>
      </c>
      <c r="G346" s="13" t="s">
        <v>30</v>
      </c>
      <c r="H346" s="1" t="s">
        <v>593</v>
      </c>
      <c r="I346" s="24" t="s">
        <v>483</v>
      </c>
      <c r="J346" s="25">
        <v>62369.0</v>
      </c>
      <c r="K346" s="26">
        <v>0.08402777777777778</v>
      </c>
      <c r="L346" s="1" t="s">
        <v>591</v>
      </c>
      <c r="M346" s="1">
        <f t="shared" si="14"/>
        <v>2</v>
      </c>
      <c r="N346" s="1">
        <f t="shared" si="15"/>
        <v>1</v>
      </c>
      <c r="O346" s="1" t="str">
        <f t="shared" si="3"/>
        <v>21</v>
      </c>
      <c r="P346" s="1" t="str">
        <f t="shared" si="4"/>
        <v>WIN</v>
      </c>
      <c r="Q346" s="1">
        <f t="shared" si="5"/>
        <v>1</v>
      </c>
    </row>
    <row r="347" ht="15.75" customHeight="1">
      <c r="A347" s="1">
        <v>22.0</v>
      </c>
      <c r="B347" s="18" t="s">
        <v>625</v>
      </c>
      <c r="C347" s="10" t="s">
        <v>29</v>
      </c>
      <c r="D347" s="19">
        <v>43135.0</v>
      </c>
      <c r="E347" s="22">
        <v>0.6770833333333334</v>
      </c>
      <c r="F347" s="23" t="s">
        <v>19</v>
      </c>
      <c r="G347" s="13" t="s">
        <v>30</v>
      </c>
      <c r="H347" s="1" t="s">
        <v>122</v>
      </c>
      <c r="I347" s="24" t="s">
        <v>483</v>
      </c>
      <c r="J347" s="25">
        <v>23287.0</v>
      </c>
      <c r="K347" s="26">
        <v>0.04236111111111111</v>
      </c>
      <c r="L347" s="1" t="s">
        <v>591</v>
      </c>
      <c r="M347" s="1">
        <f t="shared" si="14"/>
        <v>1</v>
      </c>
      <c r="N347" s="1">
        <f t="shared" si="15"/>
        <v>1</v>
      </c>
      <c r="O347" s="1" t="str">
        <f t="shared" si="3"/>
        <v>11</v>
      </c>
      <c r="P347" s="1" t="str">
        <f t="shared" si="4"/>
        <v>DRAW</v>
      </c>
      <c r="Q347" s="1">
        <f t="shared" si="5"/>
        <v>0</v>
      </c>
    </row>
    <row r="348" ht="15.75" customHeight="1">
      <c r="A348" s="1">
        <v>23.0</v>
      </c>
      <c r="B348" s="18" t="s">
        <v>626</v>
      </c>
      <c r="C348" s="10" t="s">
        <v>29</v>
      </c>
      <c r="D348" s="19">
        <v>43142.0</v>
      </c>
      <c r="E348" s="22">
        <v>0.6770833333333334</v>
      </c>
      <c r="F348" s="23" t="s">
        <v>24</v>
      </c>
      <c r="G348" s="13" t="s">
        <v>30</v>
      </c>
      <c r="H348" s="1" t="s">
        <v>627</v>
      </c>
      <c r="I348" s="24" t="s">
        <v>483</v>
      </c>
      <c r="J348" s="25">
        <v>74079.0</v>
      </c>
      <c r="K348" s="26">
        <v>0.0</v>
      </c>
      <c r="L348" s="1" t="s">
        <v>591</v>
      </c>
      <c r="M348" s="1">
        <f t="shared" si="14"/>
        <v>0</v>
      </c>
      <c r="N348" s="1">
        <f t="shared" si="15"/>
        <v>0</v>
      </c>
      <c r="O348" s="1" t="str">
        <f t="shared" si="3"/>
        <v>00</v>
      </c>
      <c r="P348" s="1" t="str">
        <f t="shared" si="4"/>
        <v>DRAW</v>
      </c>
      <c r="Q348" s="1">
        <f t="shared" si="5"/>
        <v>0</v>
      </c>
    </row>
    <row r="349" ht="15.75" customHeight="1">
      <c r="A349" s="1">
        <v>24.0</v>
      </c>
      <c r="B349" s="18" t="s">
        <v>628</v>
      </c>
      <c r="C349" s="10" t="s">
        <v>32</v>
      </c>
      <c r="D349" s="19">
        <v>43148.0</v>
      </c>
      <c r="E349" s="22">
        <v>0.6770833333333334</v>
      </c>
      <c r="F349" s="23" t="s">
        <v>19</v>
      </c>
      <c r="G349" s="13" t="s">
        <v>30</v>
      </c>
      <c r="H349" s="1" t="s">
        <v>629</v>
      </c>
      <c r="I349" s="45">
        <v>37350.0</v>
      </c>
      <c r="J349" s="25">
        <v>6760.0</v>
      </c>
      <c r="K349" s="26">
        <v>0.001388888888888889</v>
      </c>
      <c r="L349" s="1" t="s">
        <v>591</v>
      </c>
      <c r="M349" s="1">
        <f t="shared" si="14"/>
        <v>0</v>
      </c>
      <c r="N349" s="1">
        <f t="shared" si="15"/>
        <v>2</v>
      </c>
      <c r="O349" s="1" t="str">
        <f t="shared" si="3"/>
        <v>02</v>
      </c>
      <c r="P349" s="1" t="str">
        <f t="shared" si="4"/>
        <v>WIN</v>
      </c>
      <c r="Q349" s="1">
        <f t="shared" si="5"/>
        <v>1</v>
      </c>
    </row>
    <row r="350" ht="15.75" customHeight="1">
      <c r="A350" s="1">
        <v>25.0</v>
      </c>
      <c r="B350" s="18" t="s">
        <v>630</v>
      </c>
      <c r="C350" s="10" t="s">
        <v>32</v>
      </c>
      <c r="D350" s="19">
        <v>43155.0</v>
      </c>
      <c r="E350" s="22">
        <v>0.8645833333333334</v>
      </c>
      <c r="F350" s="23" t="s">
        <v>24</v>
      </c>
      <c r="G350" s="13" t="s">
        <v>30</v>
      </c>
      <c r="H350" s="1" t="s">
        <v>631</v>
      </c>
      <c r="I350" s="24" t="s">
        <v>483</v>
      </c>
      <c r="J350" s="25">
        <v>85417.0</v>
      </c>
      <c r="K350" s="26">
        <v>0.25069444444444444</v>
      </c>
      <c r="L350" s="1" t="s">
        <v>591</v>
      </c>
      <c r="M350" s="1">
        <f t="shared" si="14"/>
        <v>6</v>
      </c>
      <c r="N350" s="1">
        <f t="shared" si="15"/>
        <v>1</v>
      </c>
      <c r="O350" s="1" t="str">
        <f t="shared" si="3"/>
        <v>61</v>
      </c>
      <c r="P350" s="1" t="str">
        <f t="shared" si="4"/>
        <v>WIN</v>
      </c>
      <c r="Q350" s="1">
        <f t="shared" si="5"/>
        <v>1</v>
      </c>
    </row>
    <row r="351" ht="15.75" customHeight="1">
      <c r="A351" s="1">
        <v>26.0</v>
      </c>
      <c r="B351" s="18" t="s">
        <v>632</v>
      </c>
      <c r="C351" s="10" t="s">
        <v>18</v>
      </c>
      <c r="D351" s="19">
        <v>43160.0</v>
      </c>
      <c r="E351" s="22">
        <v>0.875</v>
      </c>
      <c r="F351" s="23" t="s">
        <v>19</v>
      </c>
      <c r="G351" s="13" t="s">
        <v>30</v>
      </c>
      <c r="H351" s="1" t="s">
        <v>633</v>
      </c>
      <c r="I351" s="45">
        <v>37350.0</v>
      </c>
      <c r="J351" s="25">
        <v>23778.0</v>
      </c>
      <c r="K351" s="26">
        <v>0.04236111111111111</v>
      </c>
      <c r="L351" s="1" t="s">
        <v>591</v>
      </c>
      <c r="M351" s="1">
        <f t="shared" si="14"/>
        <v>1</v>
      </c>
      <c r="N351" s="1">
        <f t="shared" si="15"/>
        <v>1</v>
      </c>
      <c r="O351" s="1" t="str">
        <f t="shared" si="3"/>
        <v>11</v>
      </c>
      <c r="P351" s="1" t="str">
        <f t="shared" si="4"/>
        <v>DRAW</v>
      </c>
      <c r="Q351" s="1">
        <f t="shared" si="5"/>
        <v>0</v>
      </c>
    </row>
    <row r="352" ht="15.75" customHeight="1">
      <c r="A352" s="1">
        <v>27.0</v>
      </c>
      <c r="B352" s="18" t="s">
        <v>634</v>
      </c>
      <c r="C352" s="10" t="s">
        <v>29</v>
      </c>
      <c r="D352" s="19">
        <v>43163.0</v>
      </c>
      <c r="E352" s="22">
        <v>0.6770833333333334</v>
      </c>
      <c r="F352" s="23" t="s">
        <v>24</v>
      </c>
      <c r="G352" s="13" t="s">
        <v>30</v>
      </c>
      <c r="H352" s="1" t="s">
        <v>88</v>
      </c>
      <c r="I352" s="24" t="s">
        <v>483</v>
      </c>
      <c r="J352" s="25">
        <v>90356.0</v>
      </c>
      <c r="K352" s="26">
        <v>0.041666666666666664</v>
      </c>
      <c r="L352" s="1" t="s">
        <v>591</v>
      </c>
      <c r="M352" s="1">
        <f t="shared" si="14"/>
        <v>1</v>
      </c>
      <c r="N352" s="1">
        <f t="shared" si="15"/>
        <v>0</v>
      </c>
      <c r="O352" s="1" t="str">
        <f t="shared" si="3"/>
        <v>10</v>
      </c>
      <c r="P352" s="1" t="str">
        <f t="shared" si="4"/>
        <v>WIN</v>
      </c>
      <c r="Q352" s="1">
        <f t="shared" si="5"/>
        <v>1</v>
      </c>
    </row>
    <row r="353" ht="15.75" customHeight="1">
      <c r="A353" s="1">
        <v>28.0</v>
      </c>
      <c r="B353" s="18" t="s">
        <v>635</v>
      </c>
      <c r="C353" s="10" t="s">
        <v>32</v>
      </c>
      <c r="D353" s="19">
        <v>43169.0</v>
      </c>
      <c r="E353" s="22">
        <v>0.8645833333333334</v>
      </c>
      <c r="F353" s="23" t="s">
        <v>19</v>
      </c>
      <c r="G353" s="13" t="s">
        <v>30</v>
      </c>
      <c r="H353" s="1" t="s">
        <v>604</v>
      </c>
      <c r="I353" s="24" t="s">
        <v>59</v>
      </c>
      <c r="J353" s="25">
        <v>26667.0</v>
      </c>
      <c r="K353" s="26">
        <v>0.001388888888888889</v>
      </c>
      <c r="L353" s="1" t="s">
        <v>591</v>
      </c>
      <c r="M353" s="1">
        <f t="shared" si="14"/>
        <v>0</v>
      </c>
      <c r="N353" s="1">
        <f t="shared" si="15"/>
        <v>2</v>
      </c>
      <c r="O353" s="1" t="str">
        <f t="shared" si="3"/>
        <v>02</v>
      </c>
      <c r="P353" s="1" t="str">
        <f t="shared" si="4"/>
        <v>WIN</v>
      </c>
      <c r="Q353" s="1">
        <f t="shared" si="5"/>
        <v>1</v>
      </c>
    </row>
    <row r="354" ht="15.75" customHeight="1">
      <c r="A354" s="1">
        <v>29.0</v>
      </c>
      <c r="B354" s="18" t="s">
        <v>636</v>
      </c>
      <c r="C354" s="10" t="s">
        <v>29</v>
      </c>
      <c r="D354" s="19">
        <v>43177.0</v>
      </c>
      <c r="E354" s="22">
        <v>0.6770833333333334</v>
      </c>
      <c r="F354" s="23" t="s">
        <v>24</v>
      </c>
      <c r="G354" s="13" t="s">
        <v>30</v>
      </c>
      <c r="H354" s="1" t="s">
        <v>55</v>
      </c>
      <c r="I354" s="24" t="s">
        <v>483</v>
      </c>
      <c r="J354" s="25">
        <v>84053.0</v>
      </c>
      <c r="K354" s="26">
        <v>0.08333333333333333</v>
      </c>
      <c r="L354" s="1" t="s">
        <v>591</v>
      </c>
      <c r="M354" s="1">
        <f t="shared" si="14"/>
        <v>2</v>
      </c>
      <c r="N354" s="1">
        <f t="shared" si="15"/>
        <v>0</v>
      </c>
      <c r="O354" s="1" t="str">
        <f t="shared" si="3"/>
        <v>20</v>
      </c>
      <c r="P354" s="1" t="str">
        <f t="shared" si="4"/>
        <v>WIN</v>
      </c>
      <c r="Q354" s="1">
        <f t="shared" si="5"/>
        <v>1</v>
      </c>
    </row>
    <row r="355" ht="15.75" customHeight="1">
      <c r="A355" s="1">
        <v>30.0</v>
      </c>
      <c r="B355" s="18" t="s">
        <v>637</v>
      </c>
      <c r="C355" s="10" t="s">
        <v>32</v>
      </c>
      <c r="D355" s="19">
        <v>43190.0</v>
      </c>
      <c r="E355" s="22">
        <v>0.8645833333333334</v>
      </c>
      <c r="F355" s="23" t="s">
        <v>19</v>
      </c>
      <c r="G355" s="13" t="s">
        <v>30</v>
      </c>
      <c r="H355" s="1" t="s">
        <v>638</v>
      </c>
      <c r="I355" s="24" t="s">
        <v>59</v>
      </c>
      <c r="J355" s="25">
        <v>37588.0</v>
      </c>
      <c r="K355" s="26">
        <v>0.08472222222222223</v>
      </c>
      <c r="L355" s="1" t="s">
        <v>591</v>
      </c>
      <c r="M355" s="1">
        <f t="shared" si="14"/>
        <v>2</v>
      </c>
      <c r="N355" s="1">
        <f t="shared" si="15"/>
        <v>2</v>
      </c>
      <c r="O355" s="1" t="str">
        <f t="shared" si="3"/>
        <v>22</v>
      </c>
      <c r="P355" s="1" t="str">
        <f t="shared" si="4"/>
        <v>DRAW</v>
      </c>
      <c r="Q355" s="1">
        <f t="shared" si="5"/>
        <v>0</v>
      </c>
    </row>
    <row r="356" ht="15.75" customHeight="1">
      <c r="A356" s="1">
        <v>31.0</v>
      </c>
      <c r="B356" s="18" t="s">
        <v>639</v>
      </c>
      <c r="C356" s="10" t="s">
        <v>32</v>
      </c>
      <c r="D356" s="19">
        <v>43197.0</v>
      </c>
      <c r="E356" s="22">
        <v>0.8645833333333334</v>
      </c>
      <c r="F356" s="23" t="s">
        <v>24</v>
      </c>
      <c r="G356" s="13" t="s">
        <v>30</v>
      </c>
      <c r="H356" s="1" t="s">
        <v>640</v>
      </c>
      <c r="I356" s="24" t="s">
        <v>483</v>
      </c>
      <c r="J356" s="25">
        <v>72126.0</v>
      </c>
      <c r="K356" s="26">
        <v>0.12569444444444444</v>
      </c>
      <c r="L356" s="1" t="s">
        <v>591</v>
      </c>
      <c r="M356" s="1">
        <f t="shared" si="14"/>
        <v>3</v>
      </c>
      <c r="N356" s="1">
        <f t="shared" si="15"/>
        <v>1</v>
      </c>
      <c r="O356" s="1" t="str">
        <f t="shared" si="3"/>
        <v>31</v>
      </c>
      <c r="P356" s="1" t="str">
        <f t="shared" si="4"/>
        <v>WIN</v>
      </c>
      <c r="Q356" s="1">
        <f t="shared" si="5"/>
        <v>1</v>
      </c>
    </row>
    <row r="357" ht="15.75" customHeight="1">
      <c r="A357" s="1">
        <v>32.0</v>
      </c>
      <c r="B357" s="18" t="s">
        <v>641</v>
      </c>
      <c r="C357" s="10" t="s">
        <v>32</v>
      </c>
      <c r="D357" s="19">
        <v>43204.0</v>
      </c>
      <c r="E357" s="22">
        <v>0.6770833333333334</v>
      </c>
      <c r="F357" s="23" t="s">
        <v>24</v>
      </c>
      <c r="G357" s="13" t="s">
        <v>30</v>
      </c>
      <c r="H357" s="1" t="s">
        <v>642</v>
      </c>
      <c r="I357" s="24" t="s">
        <v>483</v>
      </c>
      <c r="J357" s="25">
        <v>69544.0</v>
      </c>
      <c r="K357" s="26">
        <v>0.08402777777777778</v>
      </c>
      <c r="L357" s="1" t="s">
        <v>591</v>
      </c>
      <c r="M357" s="1">
        <f t="shared" si="14"/>
        <v>2</v>
      </c>
      <c r="N357" s="1">
        <f t="shared" si="15"/>
        <v>1</v>
      </c>
      <c r="O357" s="1" t="str">
        <f t="shared" si="3"/>
        <v>21</v>
      </c>
      <c r="P357" s="1" t="str">
        <f t="shared" si="4"/>
        <v>WIN</v>
      </c>
      <c r="Q357" s="1">
        <f t="shared" si="5"/>
        <v>1</v>
      </c>
    </row>
    <row r="358" ht="15.75" customHeight="1">
      <c r="A358" s="1">
        <v>33.0</v>
      </c>
      <c r="B358" s="18" t="s">
        <v>643</v>
      </c>
      <c r="C358" s="10" t="s">
        <v>26</v>
      </c>
      <c r="D358" s="19">
        <v>43207.0</v>
      </c>
      <c r="E358" s="22">
        <v>0.875</v>
      </c>
      <c r="F358" s="23" t="s">
        <v>19</v>
      </c>
      <c r="G358" s="13" t="s">
        <v>30</v>
      </c>
      <c r="H358" s="1" t="s">
        <v>613</v>
      </c>
      <c r="I358" s="24" t="s">
        <v>59</v>
      </c>
      <c r="J358" s="25">
        <v>20347.0</v>
      </c>
      <c r="K358" s="26">
        <v>0.08472222222222223</v>
      </c>
      <c r="L358" s="1" t="s">
        <v>591</v>
      </c>
      <c r="M358" s="1">
        <f t="shared" si="14"/>
        <v>2</v>
      </c>
      <c r="N358" s="1">
        <f t="shared" si="15"/>
        <v>2</v>
      </c>
      <c r="O358" s="1" t="str">
        <f t="shared" si="3"/>
        <v>22</v>
      </c>
      <c r="P358" s="1" t="str">
        <f t="shared" si="4"/>
        <v>DRAW</v>
      </c>
      <c r="Q358" s="1">
        <f t="shared" si="5"/>
        <v>0</v>
      </c>
    </row>
    <row r="359" ht="15.75" customHeight="1">
      <c r="A359" s="1">
        <v>34.0</v>
      </c>
      <c r="B359" s="18" t="s">
        <v>644</v>
      </c>
      <c r="C359" s="10" t="s">
        <v>23</v>
      </c>
      <c r="D359" s="19">
        <v>43229.0</v>
      </c>
      <c r="E359" s="22">
        <v>0.8333333333333334</v>
      </c>
      <c r="F359" s="23" t="s">
        <v>24</v>
      </c>
      <c r="G359" s="13" t="s">
        <v>30</v>
      </c>
      <c r="H359" s="1" t="s">
        <v>303</v>
      </c>
      <c r="I359" s="24" t="s">
        <v>59</v>
      </c>
      <c r="J359" s="25">
        <v>54743.0</v>
      </c>
      <c r="K359" s="26">
        <v>0.20902777777777778</v>
      </c>
      <c r="L359" s="1" t="s">
        <v>591</v>
      </c>
      <c r="M359" s="1">
        <f t="shared" si="14"/>
        <v>5</v>
      </c>
      <c r="N359" s="1">
        <f t="shared" si="15"/>
        <v>1</v>
      </c>
      <c r="O359" s="1" t="str">
        <f t="shared" si="3"/>
        <v>51</v>
      </c>
      <c r="P359" s="1" t="str">
        <f t="shared" si="4"/>
        <v>WIN</v>
      </c>
      <c r="Q359" s="1">
        <f t="shared" si="5"/>
        <v>1</v>
      </c>
    </row>
    <row r="360" ht="15.75" customHeight="1">
      <c r="A360" s="1">
        <v>35.0</v>
      </c>
      <c r="B360" s="18" t="s">
        <v>645</v>
      </c>
      <c r="C360" s="10" t="s">
        <v>29</v>
      </c>
      <c r="D360" s="19">
        <v>43219.0</v>
      </c>
      <c r="E360" s="22">
        <v>0.8645833333333334</v>
      </c>
      <c r="F360" s="23" t="s">
        <v>19</v>
      </c>
      <c r="G360" s="13" t="s">
        <v>30</v>
      </c>
      <c r="H360" s="1" t="s">
        <v>646</v>
      </c>
      <c r="I360" s="24" t="s">
        <v>483</v>
      </c>
      <c r="J360" s="25">
        <v>25721.0</v>
      </c>
      <c r="K360" s="26">
        <v>0.08611111111111111</v>
      </c>
      <c r="L360" s="1" t="s">
        <v>591</v>
      </c>
      <c r="M360" s="1">
        <f t="shared" si="14"/>
        <v>2</v>
      </c>
      <c r="N360" s="1">
        <f t="shared" si="15"/>
        <v>4</v>
      </c>
      <c r="O360" s="1" t="str">
        <f t="shared" si="3"/>
        <v>24</v>
      </c>
      <c r="P360" s="1" t="str">
        <f t="shared" si="4"/>
        <v>WIN</v>
      </c>
      <c r="Q360" s="1">
        <f t="shared" si="5"/>
        <v>1</v>
      </c>
    </row>
    <row r="361" ht="15.75" customHeight="1">
      <c r="A361" s="1">
        <v>36.0</v>
      </c>
      <c r="B361" s="18" t="s">
        <v>647</v>
      </c>
      <c r="C361" s="10" t="s">
        <v>29</v>
      </c>
      <c r="D361" s="19">
        <v>43226.0</v>
      </c>
      <c r="E361" s="22">
        <v>0.8645833333333334</v>
      </c>
      <c r="F361" s="23" t="s">
        <v>24</v>
      </c>
      <c r="G361" s="13" t="s">
        <v>30</v>
      </c>
      <c r="H361" s="1" t="s">
        <v>543</v>
      </c>
      <c r="I361" s="24" t="s">
        <v>483</v>
      </c>
      <c r="J361" s="25">
        <v>97939.0</v>
      </c>
      <c r="K361" s="26">
        <v>0.08472222222222223</v>
      </c>
      <c r="L361" s="1" t="s">
        <v>591</v>
      </c>
      <c r="M361" s="1">
        <f t="shared" si="14"/>
        <v>2</v>
      </c>
      <c r="N361" s="1">
        <f t="shared" si="15"/>
        <v>2</v>
      </c>
      <c r="O361" s="1" t="str">
        <f t="shared" si="3"/>
        <v>22</v>
      </c>
      <c r="P361" s="1" t="str">
        <f t="shared" si="4"/>
        <v>DRAW</v>
      </c>
      <c r="Q361" s="1">
        <f t="shared" si="5"/>
        <v>0</v>
      </c>
    </row>
    <row r="362" ht="15.75" customHeight="1">
      <c r="A362" s="1">
        <v>37.0</v>
      </c>
      <c r="B362" s="18" t="s">
        <v>648</v>
      </c>
      <c r="C362" s="10" t="s">
        <v>29</v>
      </c>
      <c r="D362" s="19">
        <v>43233.0</v>
      </c>
      <c r="E362" s="22">
        <v>0.8645833333333334</v>
      </c>
      <c r="F362" s="23" t="s">
        <v>19</v>
      </c>
      <c r="G362" s="13" t="s">
        <v>30</v>
      </c>
      <c r="H362" s="1" t="s">
        <v>649</v>
      </c>
      <c r="I362" s="24" t="s">
        <v>59</v>
      </c>
      <c r="J362" s="25">
        <v>22384.0</v>
      </c>
      <c r="K362" s="26">
        <v>0.2111111111111111</v>
      </c>
      <c r="L362" s="1" t="s">
        <v>591</v>
      </c>
      <c r="M362" s="1">
        <f t="shared" si="14"/>
        <v>5</v>
      </c>
      <c r="N362" s="1">
        <f t="shared" si="15"/>
        <v>4</v>
      </c>
      <c r="O362" s="1" t="str">
        <f t="shared" si="3"/>
        <v>54</v>
      </c>
      <c r="P362" s="1" t="str">
        <f t="shared" si="4"/>
        <v>LOSS</v>
      </c>
      <c r="Q362" s="1">
        <f t="shared" si="5"/>
        <v>-1</v>
      </c>
    </row>
    <row r="363" ht="15.75" customHeight="1">
      <c r="A363" s="1">
        <v>38.0</v>
      </c>
      <c r="B363" s="18" t="s">
        <v>650</v>
      </c>
      <c r="C363" s="10" t="s">
        <v>29</v>
      </c>
      <c r="D363" s="19">
        <v>43240.0</v>
      </c>
      <c r="E363" s="22">
        <v>0.8645833333333334</v>
      </c>
      <c r="F363" s="23" t="s">
        <v>24</v>
      </c>
      <c r="G363" s="13" t="s">
        <v>30</v>
      </c>
      <c r="H363" s="1" t="s">
        <v>506</v>
      </c>
      <c r="I363" s="24" t="s">
        <v>59</v>
      </c>
      <c r="J363" s="25">
        <v>84168.0</v>
      </c>
      <c r="K363" s="26">
        <v>0.041666666666666664</v>
      </c>
      <c r="L363" s="1" t="s">
        <v>591</v>
      </c>
      <c r="M363" s="1">
        <f t="shared" si="14"/>
        <v>1</v>
      </c>
      <c r="N363" s="1">
        <f t="shared" si="15"/>
        <v>0</v>
      </c>
      <c r="O363" s="1" t="str">
        <f t="shared" si="3"/>
        <v>10</v>
      </c>
      <c r="P363" s="1" t="str">
        <f t="shared" si="4"/>
        <v>WIN</v>
      </c>
      <c r="Q363" s="1">
        <f t="shared" si="5"/>
        <v>1</v>
      </c>
    </row>
    <row r="364" ht="15.75" customHeight="1">
      <c r="A364" s="24" t="s">
        <v>651</v>
      </c>
      <c r="B364" s="18" t="s">
        <v>652</v>
      </c>
      <c r="C364" s="10" t="s">
        <v>26</v>
      </c>
      <c r="D364" s="19">
        <v>42990.0</v>
      </c>
      <c r="E364" s="22">
        <v>0.8645833333333334</v>
      </c>
      <c r="F364" s="23" t="s">
        <v>24</v>
      </c>
      <c r="G364" s="13"/>
      <c r="H364" s="1" t="s">
        <v>653</v>
      </c>
      <c r="I364" s="24" t="s">
        <v>59</v>
      </c>
      <c r="J364" s="25">
        <v>78656.0</v>
      </c>
      <c r="K364" s="26">
        <v>0.125</v>
      </c>
      <c r="L364" s="1" t="s">
        <v>591</v>
      </c>
      <c r="M364" s="1">
        <f t="shared" si="14"/>
        <v>3</v>
      </c>
      <c r="N364" s="1">
        <f t="shared" si="15"/>
        <v>0</v>
      </c>
      <c r="O364" s="1" t="str">
        <f t="shared" si="3"/>
        <v>30</v>
      </c>
      <c r="P364" s="1" t="str">
        <f t="shared" si="4"/>
        <v>WIN</v>
      </c>
      <c r="Q364" s="1">
        <f t="shared" si="5"/>
        <v>1</v>
      </c>
    </row>
    <row r="365" ht="15.75" customHeight="1">
      <c r="A365" s="24" t="s">
        <v>651</v>
      </c>
      <c r="B365" s="18" t="s">
        <v>654</v>
      </c>
      <c r="C365" s="10" t="s">
        <v>23</v>
      </c>
      <c r="D365" s="19">
        <v>43005.0</v>
      </c>
      <c r="E365" s="22">
        <v>0.8645833333333334</v>
      </c>
      <c r="F365" s="23" t="s">
        <v>19</v>
      </c>
      <c r="G365" s="13"/>
      <c r="H365" s="1" t="s">
        <v>655</v>
      </c>
      <c r="I365" s="24" t="s">
        <v>483</v>
      </c>
      <c r="J365" s="25">
        <v>48575.0</v>
      </c>
      <c r="K365" s="26">
        <v>6.944444444444445E-4</v>
      </c>
      <c r="L365" s="1" t="s">
        <v>591</v>
      </c>
      <c r="M365" s="1">
        <f t="shared" si="14"/>
        <v>0</v>
      </c>
      <c r="N365" s="1">
        <f t="shared" si="15"/>
        <v>1</v>
      </c>
      <c r="O365" s="1" t="str">
        <f t="shared" si="3"/>
        <v>01</v>
      </c>
      <c r="P365" s="1" t="str">
        <f t="shared" si="4"/>
        <v>WIN</v>
      </c>
      <c r="Q365" s="1">
        <f t="shared" si="5"/>
        <v>1</v>
      </c>
    </row>
    <row r="366" ht="15.75" customHeight="1">
      <c r="A366" s="24" t="s">
        <v>651</v>
      </c>
      <c r="B366" s="18" t="s">
        <v>656</v>
      </c>
      <c r="C366" s="10" t="s">
        <v>23</v>
      </c>
      <c r="D366" s="21">
        <v>43026.0</v>
      </c>
      <c r="E366" s="22">
        <v>0.8645833333333334</v>
      </c>
      <c r="F366" s="23" t="s">
        <v>24</v>
      </c>
      <c r="G366" s="13"/>
      <c r="H366" s="1" t="s">
        <v>27</v>
      </c>
      <c r="I366" s="24" t="s">
        <v>59</v>
      </c>
      <c r="J366" s="25">
        <v>55026.0</v>
      </c>
      <c r="K366" s="26">
        <v>0.12569444444444444</v>
      </c>
      <c r="L366" s="1" t="s">
        <v>591</v>
      </c>
      <c r="M366" s="1">
        <f t="shared" si="14"/>
        <v>3</v>
      </c>
      <c r="N366" s="1">
        <f t="shared" si="15"/>
        <v>1</v>
      </c>
      <c r="O366" s="1" t="str">
        <f t="shared" si="3"/>
        <v>31</v>
      </c>
      <c r="P366" s="1" t="str">
        <f t="shared" si="4"/>
        <v>WIN</v>
      </c>
      <c r="Q366" s="1">
        <f t="shared" si="5"/>
        <v>1</v>
      </c>
    </row>
    <row r="367" ht="15.75" customHeight="1">
      <c r="A367" s="24" t="s">
        <v>651</v>
      </c>
      <c r="B367" s="18" t="s">
        <v>657</v>
      </c>
      <c r="C367" s="10" t="s">
        <v>26</v>
      </c>
      <c r="D367" s="21">
        <v>43039.0</v>
      </c>
      <c r="E367" s="22">
        <v>0.8645833333333334</v>
      </c>
      <c r="F367" s="23" t="s">
        <v>19</v>
      </c>
      <c r="G367" s="13"/>
      <c r="H367" s="1" t="s">
        <v>27</v>
      </c>
      <c r="I367" s="24" t="s">
        <v>483</v>
      </c>
      <c r="J367" s="25">
        <v>31600.0</v>
      </c>
      <c r="K367" s="26">
        <v>0.0</v>
      </c>
      <c r="L367" s="1" t="s">
        <v>591</v>
      </c>
      <c r="M367" s="1">
        <f t="shared" si="14"/>
        <v>0</v>
      </c>
      <c r="N367" s="1">
        <f t="shared" si="15"/>
        <v>0</v>
      </c>
      <c r="O367" s="1" t="str">
        <f t="shared" si="3"/>
        <v>00</v>
      </c>
      <c r="P367" s="1" t="str">
        <f t="shared" si="4"/>
        <v>DRAW</v>
      </c>
      <c r="Q367" s="1">
        <f t="shared" si="5"/>
        <v>0</v>
      </c>
    </row>
    <row r="368" ht="15.75" customHeight="1">
      <c r="A368" s="24" t="s">
        <v>651</v>
      </c>
      <c r="B368" s="18" t="s">
        <v>658</v>
      </c>
      <c r="C368" s="10" t="s">
        <v>23</v>
      </c>
      <c r="D368" s="21">
        <v>43061.0</v>
      </c>
      <c r="E368" s="22">
        <v>0.8645833333333334</v>
      </c>
      <c r="F368" s="23" t="s">
        <v>19</v>
      </c>
      <c r="G368" s="13"/>
      <c r="H368" s="1" t="s">
        <v>653</v>
      </c>
      <c r="I368" s="24" t="s">
        <v>59</v>
      </c>
      <c r="J368" s="25">
        <v>40876.0</v>
      </c>
      <c r="K368" s="26">
        <v>0.0</v>
      </c>
      <c r="L368" s="1" t="s">
        <v>591</v>
      </c>
      <c r="M368" s="1">
        <f t="shared" si="14"/>
        <v>0</v>
      </c>
      <c r="N368" s="1">
        <f t="shared" si="15"/>
        <v>0</v>
      </c>
      <c r="O368" s="1" t="str">
        <f t="shared" si="3"/>
        <v>00</v>
      </c>
      <c r="P368" s="1" t="str">
        <f t="shared" si="4"/>
        <v>DRAW</v>
      </c>
      <c r="Q368" s="1">
        <f t="shared" si="5"/>
        <v>0</v>
      </c>
    </row>
    <row r="369" ht="15.75" customHeight="1">
      <c r="A369" s="24" t="s">
        <v>651</v>
      </c>
      <c r="B369" s="18" t="s">
        <v>659</v>
      </c>
      <c r="C369" s="10" t="s">
        <v>26</v>
      </c>
      <c r="D369" s="19">
        <v>43074.0</v>
      </c>
      <c r="E369" s="22">
        <v>0.8645833333333334</v>
      </c>
      <c r="F369" s="23" t="s">
        <v>24</v>
      </c>
      <c r="G369" s="13"/>
      <c r="H369" s="1" t="s">
        <v>655</v>
      </c>
      <c r="I369" s="24" t="s">
        <v>59</v>
      </c>
      <c r="J369" s="25">
        <v>48336.0</v>
      </c>
      <c r="K369" s="26">
        <v>0.08333333333333333</v>
      </c>
      <c r="L369" s="1" t="s">
        <v>591</v>
      </c>
      <c r="M369" s="1">
        <f t="shared" si="14"/>
        <v>2</v>
      </c>
      <c r="N369" s="1">
        <f t="shared" si="15"/>
        <v>0</v>
      </c>
      <c r="O369" s="1" t="str">
        <f t="shared" si="3"/>
        <v>20</v>
      </c>
      <c r="P369" s="1" t="str">
        <f t="shared" si="4"/>
        <v>WIN</v>
      </c>
      <c r="Q369" s="1">
        <f t="shared" si="5"/>
        <v>1</v>
      </c>
    </row>
    <row r="370" ht="15.75" customHeight="1">
      <c r="A370" s="24" t="s">
        <v>143</v>
      </c>
      <c r="B370" s="18" t="s">
        <v>660</v>
      </c>
      <c r="C370" s="10" t="s">
        <v>26</v>
      </c>
      <c r="D370" s="19">
        <v>43151.0</v>
      </c>
      <c r="E370" s="22">
        <v>0.8645833333333334</v>
      </c>
      <c r="F370" s="23" t="s">
        <v>19</v>
      </c>
      <c r="G370" s="13"/>
      <c r="H370" s="1" t="s">
        <v>661</v>
      </c>
      <c r="I370" s="24" t="s">
        <v>483</v>
      </c>
      <c r="J370" s="25">
        <v>37741.0</v>
      </c>
      <c r="K370" s="26">
        <v>0.04236111111111111</v>
      </c>
      <c r="L370" s="1" t="s">
        <v>591</v>
      </c>
      <c r="M370" s="1">
        <f t="shared" si="14"/>
        <v>1</v>
      </c>
      <c r="N370" s="1">
        <f t="shared" si="15"/>
        <v>1</v>
      </c>
      <c r="O370" s="1" t="str">
        <f t="shared" si="3"/>
        <v>11</v>
      </c>
      <c r="P370" s="1" t="str">
        <f t="shared" si="4"/>
        <v>DRAW</v>
      </c>
      <c r="Q370" s="1">
        <f t="shared" si="5"/>
        <v>0</v>
      </c>
    </row>
    <row r="371" ht="15.75" customHeight="1">
      <c r="A371" s="24" t="s">
        <v>145</v>
      </c>
      <c r="B371" s="18" t="s">
        <v>662</v>
      </c>
      <c r="C371" s="10" t="s">
        <v>23</v>
      </c>
      <c r="D371" s="19">
        <v>43173.0</v>
      </c>
      <c r="E371" s="22">
        <v>0.8645833333333334</v>
      </c>
      <c r="F371" s="23" t="s">
        <v>24</v>
      </c>
      <c r="G371" s="13"/>
      <c r="H371" s="1" t="s">
        <v>661</v>
      </c>
      <c r="I371" s="24" t="s">
        <v>483</v>
      </c>
      <c r="J371" s="25">
        <v>97183.0</v>
      </c>
      <c r="K371" s="26">
        <v>0.125</v>
      </c>
      <c r="L371" s="1" t="s">
        <v>591</v>
      </c>
      <c r="M371" s="1">
        <f t="shared" si="14"/>
        <v>3</v>
      </c>
      <c r="N371" s="1">
        <f t="shared" si="15"/>
        <v>0</v>
      </c>
      <c r="O371" s="1" t="str">
        <f t="shared" si="3"/>
        <v>30</v>
      </c>
      <c r="P371" s="1" t="str">
        <f t="shared" si="4"/>
        <v>WIN</v>
      </c>
      <c r="Q371" s="1">
        <f t="shared" si="5"/>
        <v>1</v>
      </c>
    </row>
    <row r="372" ht="15.75" customHeight="1">
      <c r="A372" s="24" t="s">
        <v>147</v>
      </c>
      <c r="B372" s="18" t="s">
        <v>663</v>
      </c>
      <c r="C372" s="10" t="s">
        <v>23</v>
      </c>
      <c r="D372" s="19">
        <v>43194.0</v>
      </c>
      <c r="E372" s="22">
        <v>0.8645833333333334</v>
      </c>
      <c r="F372" s="23" t="s">
        <v>24</v>
      </c>
      <c r="G372" s="13"/>
      <c r="H372" s="1" t="s">
        <v>664</v>
      </c>
      <c r="I372" s="45">
        <v>37350.0</v>
      </c>
      <c r="J372" s="25">
        <v>90106.0</v>
      </c>
      <c r="K372" s="26">
        <v>0.1673611111111111</v>
      </c>
      <c r="L372" s="1" t="s">
        <v>591</v>
      </c>
      <c r="M372" s="1">
        <f t="shared" si="14"/>
        <v>4</v>
      </c>
      <c r="N372" s="1">
        <f t="shared" si="15"/>
        <v>1</v>
      </c>
      <c r="O372" s="1" t="str">
        <f t="shared" si="3"/>
        <v>41</v>
      </c>
      <c r="P372" s="1" t="str">
        <f t="shared" si="4"/>
        <v>WIN</v>
      </c>
      <c r="Q372" s="1">
        <f t="shared" si="5"/>
        <v>1</v>
      </c>
    </row>
    <row r="373" ht="15.75" customHeight="1">
      <c r="A373" s="24" t="s">
        <v>149</v>
      </c>
      <c r="B373" s="18" t="s">
        <v>665</v>
      </c>
      <c r="C373" s="10" t="s">
        <v>26</v>
      </c>
      <c r="D373" s="19">
        <v>43200.0</v>
      </c>
      <c r="E373" s="22">
        <v>0.8645833333333334</v>
      </c>
      <c r="F373" s="23" t="s">
        <v>19</v>
      </c>
      <c r="G373" s="13"/>
      <c r="H373" s="1" t="s">
        <v>664</v>
      </c>
      <c r="I373" s="24" t="s">
        <v>483</v>
      </c>
      <c r="J373" s="25">
        <v>56580.0</v>
      </c>
      <c r="K373" s="26">
        <v>0.125</v>
      </c>
      <c r="L373" s="1" t="s">
        <v>591</v>
      </c>
      <c r="M373" s="1">
        <f t="shared" si="14"/>
        <v>3</v>
      </c>
      <c r="N373" s="1">
        <f t="shared" si="15"/>
        <v>0</v>
      </c>
      <c r="O373" s="1" t="str">
        <f t="shared" si="3"/>
        <v>30</v>
      </c>
      <c r="P373" s="1" t="str">
        <f t="shared" si="4"/>
        <v>LOSS</v>
      </c>
      <c r="Q373" s="1">
        <f t="shared" si="5"/>
        <v>-1</v>
      </c>
    </row>
    <row r="374" ht="15.75" customHeight="1">
      <c r="A374" s="24" t="s">
        <v>339</v>
      </c>
      <c r="B374" s="18" t="s">
        <v>666</v>
      </c>
      <c r="C374" s="10" t="s">
        <v>26</v>
      </c>
      <c r="D374" s="21">
        <v>43032.0</v>
      </c>
      <c r="E374" s="22">
        <v>0.8958333333333334</v>
      </c>
      <c r="F374" s="23" t="s">
        <v>19</v>
      </c>
      <c r="G374" s="13"/>
      <c r="H374" s="1" t="s">
        <v>667</v>
      </c>
      <c r="I374" s="24" t="s">
        <v>59</v>
      </c>
      <c r="J374" s="25">
        <v>16127.0</v>
      </c>
      <c r="K374" s="26">
        <v>0.0020833333333333333</v>
      </c>
      <c r="L374" s="1" t="s">
        <v>591</v>
      </c>
      <c r="M374" s="1">
        <f t="shared" si="14"/>
        <v>0</v>
      </c>
      <c r="N374" s="1">
        <f t="shared" si="15"/>
        <v>3</v>
      </c>
      <c r="O374" s="1" t="str">
        <f t="shared" si="3"/>
        <v>03</v>
      </c>
      <c r="P374" s="1" t="str">
        <f t="shared" si="4"/>
        <v>WIN</v>
      </c>
      <c r="Q374" s="1">
        <f t="shared" si="5"/>
        <v>1</v>
      </c>
    </row>
    <row r="375" ht="15.75" customHeight="1">
      <c r="A375" s="24" t="s">
        <v>342</v>
      </c>
      <c r="B375" s="18" t="s">
        <v>668</v>
      </c>
      <c r="C375" s="10" t="s">
        <v>23</v>
      </c>
      <c r="D375" s="21">
        <v>43068.0</v>
      </c>
      <c r="E375" s="22">
        <v>0.8125</v>
      </c>
      <c r="F375" s="23" t="s">
        <v>24</v>
      </c>
      <c r="G375" s="13"/>
      <c r="H375" s="1" t="s">
        <v>667</v>
      </c>
      <c r="I375" s="24" t="s">
        <v>59</v>
      </c>
      <c r="J375" s="25">
        <v>68775.0</v>
      </c>
      <c r="K375" s="26">
        <v>0.20833333333333334</v>
      </c>
      <c r="L375" s="1" t="s">
        <v>591</v>
      </c>
      <c r="M375" s="1">
        <f t="shared" si="14"/>
        <v>5</v>
      </c>
      <c r="N375" s="1">
        <f t="shared" si="15"/>
        <v>0</v>
      </c>
      <c r="O375" s="1" t="str">
        <f t="shared" si="3"/>
        <v>50</v>
      </c>
      <c r="P375" s="1" t="str">
        <f t="shared" si="4"/>
        <v>WIN</v>
      </c>
      <c r="Q375" s="1">
        <f t="shared" si="5"/>
        <v>1</v>
      </c>
    </row>
    <row r="376" ht="15.75" customHeight="1">
      <c r="A376" s="24" t="s">
        <v>143</v>
      </c>
      <c r="B376" s="18" t="s">
        <v>669</v>
      </c>
      <c r="C376" s="10" t="s">
        <v>18</v>
      </c>
      <c r="D376" s="19">
        <v>43104.0</v>
      </c>
      <c r="E376" s="22">
        <v>0.7916666666666666</v>
      </c>
      <c r="F376" s="23" t="s">
        <v>19</v>
      </c>
      <c r="G376" s="13"/>
      <c r="H376" s="1" t="s">
        <v>670</v>
      </c>
      <c r="I376" s="24" t="s">
        <v>370</v>
      </c>
      <c r="J376" s="25">
        <v>21338.0</v>
      </c>
      <c r="K376" s="26">
        <v>0.04236111111111111</v>
      </c>
      <c r="L376" s="1" t="s">
        <v>591</v>
      </c>
      <c r="M376" s="1">
        <f t="shared" si="14"/>
        <v>1</v>
      </c>
      <c r="N376" s="1">
        <f t="shared" si="15"/>
        <v>1</v>
      </c>
      <c r="O376" s="1" t="str">
        <f t="shared" si="3"/>
        <v>11</v>
      </c>
      <c r="P376" s="1" t="str">
        <f t="shared" si="4"/>
        <v>DRAW</v>
      </c>
      <c r="Q376" s="1">
        <f t="shared" si="5"/>
        <v>0</v>
      </c>
    </row>
    <row r="377" ht="15.75" customHeight="1">
      <c r="A377" s="24" t="s">
        <v>145</v>
      </c>
      <c r="B377" s="18" t="s">
        <v>671</v>
      </c>
      <c r="C377" s="10" t="s">
        <v>18</v>
      </c>
      <c r="D377" s="19">
        <v>43111.0</v>
      </c>
      <c r="E377" s="22">
        <v>0.8958333333333334</v>
      </c>
      <c r="F377" s="23" t="s">
        <v>24</v>
      </c>
      <c r="G377" s="13"/>
      <c r="H377" s="1" t="s">
        <v>670</v>
      </c>
      <c r="I377" s="45">
        <v>37350.0</v>
      </c>
      <c r="J377" s="25">
        <v>59009.0</v>
      </c>
      <c r="K377" s="26">
        <v>0.20833333333333334</v>
      </c>
      <c r="L377" s="1" t="s">
        <v>591</v>
      </c>
      <c r="M377" s="1">
        <f t="shared" si="14"/>
        <v>5</v>
      </c>
      <c r="N377" s="1">
        <f t="shared" si="15"/>
        <v>0</v>
      </c>
      <c r="O377" s="1" t="str">
        <f t="shared" si="3"/>
        <v>50</v>
      </c>
      <c r="P377" s="1" t="str">
        <f t="shared" si="4"/>
        <v>WIN</v>
      </c>
      <c r="Q377" s="1">
        <f t="shared" si="5"/>
        <v>1</v>
      </c>
    </row>
    <row r="378" ht="15.75" customHeight="1">
      <c r="A378" s="24" t="s">
        <v>147</v>
      </c>
      <c r="B378" s="18" t="s">
        <v>672</v>
      </c>
      <c r="C378" s="10" t="s">
        <v>23</v>
      </c>
      <c r="D378" s="19">
        <v>43117.0</v>
      </c>
      <c r="E378" s="22">
        <v>0.875</v>
      </c>
      <c r="F378" s="23" t="s">
        <v>19</v>
      </c>
      <c r="G378" s="13"/>
      <c r="H378" s="1" t="s">
        <v>673</v>
      </c>
      <c r="I378" s="24" t="s">
        <v>370</v>
      </c>
      <c r="J378" s="25">
        <v>23323.0</v>
      </c>
      <c r="K378" s="26">
        <v>0.041666666666666664</v>
      </c>
      <c r="L378" s="1" t="s">
        <v>591</v>
      </c>
      <c r="M378" s="1">
        <f t="shared" si="14"/>
        <v>1</v>
      </c>
      <c r="N378" s="1">
        <f t="shared" si="15"/>
        <v>0</v>
      </c>
      <c r="O378" s="1" t="str">
        <f t="shared" si="3"/>
        <v>10</v>
      </c>
      <c r="P378" s="1" t="str">
        <f t="shared" si="4"/>
        <v>LOSS</v>
      </c>
      <c r="Q378" s="1">
        <f t="shared" si="5"/>
        <v>-1</v>
      </c>
    </row>
    <row r="379" ht="15.75" customHeight="1">
      <c r="A379" s="24" t="s">
        <v>149</v>
      </c>
      <c r="B379" s="18" t="s">
        <v>674</v>
      </c>
      <c r="C379" s="10" t="s">
        <v>18</v>
      </c>
      <c r="D379" s="19">
        <v>43125.0</v>
      </c>
      <c r="E379" s="22">
        <v>0.8958333333333334</v>
      </c>
      <c r="F379" s="23" t="s">
        <v>24</v>
      </c>
      <c r="G379" s="13"/>
      <c r="H379" s="1" t="s">
        <v>673</v>
      </c>
      <c r="I379" s="24" t="s">
        <v>483</v>
      </c>
      <c r="J379" s="25">
        <v>79774.0</v>
      </c>
      <c r="K379" s="26">
        <v>0.08333333333333333</v>
      </c>
      <c r="L379" s="1" t="s">
        <v>591</v>
      </c>
      <c r="M379" s="1">
        <f t="shared" si="14"/>
        <v>2</v>
      </c>
      <c r="N379" s="1">
        <f t="shared" si="15"/>
        <v>0</v>
      </c>
      <c r="O379" s="1" t="str">
        <f t="shared" si="3"/>
        <v>20</v>
      </c>
      <c r="P379" s="1" t="str">
        <f t="shared" si="4"/>
        <v>WIN</v>
      </c>
      <c r="Q379" s="1">
        <f t="shared" si="5"/>
        <v>1</v>
      </c>
    </row>
    <row r="380" ht="15.75" customHeight="1">
      <c r="A380" s="24" t="s">
        <v>151</v>
      </c>
      <c r="B380" s="18" t="s">
        <v>675</v>
      </c>
      <c r="C380" s="10" t="s">
        <v>18</v>
      </c>
      <c r="D380" s="19">
        <v>43132.0</v>
      </c>
      <c r="E380" s="22">
        <v>0.8958333333333334</v>
      </c>
      <c r="F380" s="23" t="s">
        <v>24</v>
      </c>
      <c r="G380" s="13"/>
      <c r="H380" s="1" t="s">
        <v>165</v>
      </c>
      <c r="I380" s="45">
        <v>37350.0</v>
      </c>
      <c r="J380" s="25">
        <v>50959.0</v>
      </c>
      <c r="K380" s="26">
        <v>0.041666666666666664</v>
      </c>
      <c r="L380" s="1" t="s">
        <v>591</v>
      </c>
      <c r="M380" s="1">
        <f t="shared" si="14"/>
        <v>1</v>
      </c>
      <c r="N380" s="1">
        <f t="shared" si="15"/>
        <v>0</v>
      </c>
      <c r="O380" s="1" t="str">
        <f t="shared" si="3"/>
        <v>10</v>
      </c>
      <c r="P380" s="1" t="str">
        <f t="shared" si="4"/>
        <v>WIN</v>
      </c>
      <c r="Q380" s="1">
        <f t="shared" si="5"/>
        <v>1</v>
      </c>
    </row>
    <row r="381" ht="15.75" customHeight="1">
      <c r="A381" s="24" t="s">
        <v>154</v>
      </c>
      <c r="B381" s="18" t="s">
        <v>676</v>
      </c>
      <c r="C381" s="10" t="s">
        <v>18</v>
      </c>
      <c r="D381" s="19">
        <v>43139.0</v>
      </c>
      <c r="E381" s="22">
        <v>0.8958333333333334</v>
      </c>
      <c r="F381" s="23" t="s">
        <v>19</v>
      </c>
      <c r="G381" s="13"/>
      <c r="H381" s="1" t="s">
        <v>165</v>
      </c>
      <c r="I381" s="45">
        <v>37350.0</v>
      </c>
      <c r="J381" s="25">
        <v>43355.0</v>
      </c>
      <c r="K381" s="26">
        <v>0.001388888888888889</v>
      </c>
      <c r="L381" s="1" t="s">
        <v>591</v>
      </c>
      <c r="M381" s="1">
        <f t="shared" si="14"/>
        <v>0</v>
      </c>
      <c r="N381" s="1">
        <f t="shared" si="15"/>
        <v>2</v>
      </c>
      <c r="O381" s="1" t="str">
        <f t="shared" si="3"/>
        <v>02</v>
      </c>
      <c r="P381" s="1" t="str">
        <f t="shared" si="4"/>
        <v>WIN</v>
      </c>
      <c r="Q381" s="1">
        <f t="shared" si="5"/>
        <v>1</v>
      </c>
    </row>
    <row r="382" ht="15.75" customHeight="1">
      <c r="A382" s="24" t="s">
        <v>169</v>
      </c>
      <c r="B382" s="18" t="s">
        <v>677</v>
      </c>
      <c r="C382" s="10" t="s">
        <v>32</v>
      </c>
      <c r="D382" s="19">
        <v>43211.0</v>
      </c>
      <c r="E382" s="22">
        <v>0.8958333333333334</v>
      </c>
      <c r="F382" s="23" t="s">
        <v>19</v>
      </c>
      <c r="G382" s="13"/>
      <c r="H382" s="1" t="s">
        <v>585</v>
      </c>
      <c r="I382" s="24" t="s">
        <v>483</v>
      </c>
      <c r="J382" s="27">
        <v>68000.0</v>
      </c>
      <c r="K382" s="26">
        <v>0.003472222222222222</v>
      </c>
      <c r="L382" s="1" t="s">
        <v>591</v>
      </c>
      <c r="M382" s="1">
        <f t="shared" si="14"/>
        <v>0</v>
      </c>
      <c r="N382" s="1">
        <f t="shared" si="15"/>
        <v>5</v>
      </c>
      <c r="O382" s="1" t="str">
        <f t="shared" si="3"/>
        <v>05</v>
      </c>
      <c r="P382" s="1" t="str">
        <f t="shared" si="4"/>
        <v>WIN</v>
      </c>
      <c r="Q382" s="1">
        <f t="shared" si="5"/>
        <v>1</v>
      </c>
    </row>
    <row r="383" ht="15.75" customHeight="1">
      <c r="A383" s="6">
        <v>1.0</v>
      </c>
      <c r="B383" s="46" t="s">
        <v>678</v>
      </c>
      <c r="C383" s="10" t="s">
        <v>32</v>
      </c>
      <c r="D383" s="19" t="s">
        <v>679</v>
      </c>
      <c r="E383" s="22">
        <v>0.7604166666666666</v>
      </c>
      <c r="F383" s="47" t="s">
        <v>24</v>
      </c>
      <c r="G383" s="48" t="s">
        <v>33</v>
      </c>
      <c r="H383" s="49" t="s">
        <v>680</v>
      </c>
      <c r="I383" s="46" t="s">
        <v>59</v>
      </c>
      <c r="J383" s="50">
        <v>65731.0</v>
      </c>
      <c r="K383" s="26" t="s">
        <v>681</v>
      </c>
      <c r="L383" s="6" t="s">
        <v>682</v>
      </c>
      <c r="M383" s="51" t="str">
        <f t="shared" ref="M383:M555" si="16">left(K383,1)</f>
        <v>6</v>
      </c>
      <c r="N383" s="51" t="str">
        <f t="shared" ref="N383:N495" si="17">right(K383,1)</f>
        <v>2</v>
      </c>
      <c r="O383" s="1" t="str">
        <f t="shared" si="3"/>
        <v>62</v>
      </c>
      <c r="P383" s="1" t="str">
        <f t="shared" si="4"/>
        <v>WIN</v>
      </c>
    </row>
    <row r="384" ht="15.75" customHeight="1">
      <c r="A384" s="52">
        <v>2.0</v>
      </c>
      <c r="B384" s="46" t="s">
        <v>683</v>
      </c>
      <c r="C384" s="10" t="s">
        <v>29</v>
      </c>
      <c r="D384" s="19" t="s">
        <v>684</v>
      </c>
      <c r="E384" s="22">
        <v>0.84375</v>
      </c>
      <c r="F384" s="47" t="s">
        <v>19</v>
      </c>
      <c r="G384" s="48" t="s">
        <v>30</v>
      </c>
      <c r="H384" s="53" t="s">
        <v>685</v>
      </c>
      <c r="I384" s="46" t="s">
        <v>59</v>
      </c>
      <c r="J384" s="50">
        <v>46724.0</v>
      </c>
      <c r="K384" s="54" t="s">
        <v>686</v>
      </c>
      <c r="L384" s="6" t="s">
        <v>682</v>
      </c>
      <c r="M384" s="51" t="str">
        <f t="shared" si="16"/>
        <v>0</v>
      </c>
      <c r="N384" s="51" t="str">
        <f t="shared" si="17"/>
        <v>1</v>
      </c>
      <c r="O384" s="1" t="str">
        <f t="shared" si="3"/>
        <v>01</v>
      </c>
      <c r="P384" s="1" t="str">
        <f t="shared" si="4"/>
        <v>WIN</v>
      </c>
    </row>
    <row r="385" ht="15.75" customHeight="1">
      <c r="A385" s="52">
        <v>3.0</v>
      </c>
      <c r="B385" s="46" t="s">
        <v>687</v>
      </c>
      <c r="C385" s="10" t="s">
        <v>32</v>
      </c>
      <c r="D385" s="19" t="s">
        <v>688</v>
      </c>
      <c r="E385" s="22">
        <v>0.8541666666666666</v>
      </c>
      <c r="F385" s="47" t="s">
        <v>24</v>
      </c>
      <c r="G385" s="48" t="s">
        <v>33</v>
      </c>
      <c r="H385" s="53" t="s">
        <v>689</v>
      </c>
      <c r="I385" s="46" t="s">
        <v>59</v>
      </c>
      <c r="J385" s="50">
        <v>74237.0</v>
      </c>
      <c r="K385" s="54" t="s">
        <v>690</v>
      </c>
      <c r="L385" s="6" t="s">
        <v>682</v>
      </c>
      <c r="M385" s="51" t="str">
        <f t="shared" si="16"/>
        <v>1</v>
      </c>
      <c r="N385" s="51" t="str">
        <f t="shared" si="17"/>
        <v>2</v>
      </c>
      <c r="O385" s="1" t="str">
        <f t="shared" si="3"/>
        <v>12</v>
      </c>
      <c r="P385" s="1" t="str">
        <f t="shared" si="4"/>
        <v>LOSS</v>
      </c>
    </row>
    <row r="386" ht="15.75" customHeight="1">
      <c r="A386" s="52">
        <v>4.0</v>
      </c>
      <c r="B386" s="46" t="s">
        <v>691</v>
      </c>
      <c r="C386" s="10" t="s">
        <v>32</v>
      </c>
      <c r="D386" s="19" t="s">
        <v>692</v>
      </c>
      <c r="E386" s="22">
        <v>0.5416666666666666</v>
      </c>
      <c r="F386" s="47" t="s">
        <v>19</v>
      </c>
      <c r="G386" s="48" t="s">
        <v>272</v>
      </c>
      <c r="H386" s="53" t="s">
        <v>693</v>
      </c>
      <c r="I386" s="55">
        <v>37714.0</v>
      </c>
      <c r="J386" s="56">
        <v>10958.0</v>
      </c>
      <c r="K386" s="54" t="s">
        <v>694</v>
      </c>
      <c r="L386" s="6" t="s">
        <v>682</v>
      </c>
      <c r="M386" s="51" t="str">
        <f t="shared" si="16"/>
        <v>1</v>
      </c>
      <c r="N386" s="51" t="str">
        <f t="shared" si="17"/>
        <v>5</v>
      </c>
      <c r="O386" s="1" t="str">
        <f t="shared" si="3"/>
        <v>15</v>
      </c>
      <c r="P386" s="1" t="str">
        <f t="shared" si="4"/>
        <v>WIN</v>
      </c>
    </row>
    <row r="387" ht="15.75" customHeight="1">
      <c r="A387" s="52">
        <v>5.0</v>
      </c>
      <c r="B387" s="46" t="s">
        <v>695</v>
      </c>
      <c r="C387" s="10" t="s">
        <v>23</v>
      </c>
      <c r="D387" s="19" t="s">
        <v>696</v>
      </c>
      <c r="E387" s="22">
        <v>0.9166666666666666</v>
      </c>
      <c r="F387" s="47" t="s">
        <v>24</v>
      </c>
      <c r="G387" s="48" t="s">
        <v>33</v>
      </c>
      <c r="H387" s="53" t="s">
        <v>697</v>
      </c>
      <c r="I387" s="46" t="s">
        <v>59</v>
      </c>
      <c r="J387" s="50">
        <v>89421.0</v>
      </c>
      <c r="K387" s="54" t="s">
        <v>698</v>
      </c>
      <c r="L387" s="6" t="s">
        <v>682</v>
      </c>
      <c r="M387" s="51" t="str">
        <f t="shared" si="16"/>
        <v>1</v>
      </c>
      <c r="N387" s="51" t="str">
        <f t="shared" si="17"/>
        <v>1</v>
      </c>
      <c r="O387" s="1" t="str">
        <f t="shared" si="3"/>
        <v>11</v>
      </c>
      <c r="P387" s="1" t="str">
        <f t="shared" si="4"/>
        <v>DRAW</v>
      </c>
    </row>
    <row r="388" ht="15.75" customHeight="1">
      <c r="A388" s="52">
        <v>6.0</v>
      </c>
      <c r="B388" s="46" t="s">
        <v>699</v>
      </c>
      <c r="C388" s="10" t="s">
        <v>32</v>
      </c>
      <c r="D388" s="19" t="s">
        <v>700</v>
      </c>
      <c r="E388" s="22">
        <v>0.6770833333333334</v>
      </c>
      <c r="F388" s="47" t="s">
        <v>19</v>
      </c>
      <c r="G388" s="48" t="s">
        <v>87</v>
      </c>
      <c r="H388" s="53" t="s">
        <v>701</v>
      </c>
      <c r="I388" s="46" t="s">
        <v>59</v>
      </c>
      <c r="J388" s="50">
        <v>25899.0</v>
      </c>
      <c r="K388" s="54" t="s">
        <v>702</v>
      </c>
      <c r="L388" s="6" t="s">
        <v>682</v>
      </c>
      <c r="M388" s="51" t="str">
        <f t="shared" si="16"/>
        <v>0</v>
      </c>
      <c r="N388" s="51" t="str">
        <f t="shared" si="17"/>
        <v>5</v>
      </c>
      <c r="O388" s="1" t="str">
        <f t="shared" si="3"/>
        <v>05</v>
      </c>
      <c r="P388" s="1" t="str">
        <f t="shared" si="4"/>
        <v>WIN</v>
      </c>
    </row>
    <row r="389" ht="15.75" customHeight="1">
      <c r="A389" s="52">
        <v>7.0</v>
      </c>
      <c r="B389" s="46" t="s">
        <v>703</v>
      </c>
      <c r="C389" s="10" t="s">
        <v>29</v>
      </c>
      <c r="D389" s="19" t="s">
        <v>704</v>
      </c>
      <c r="E389" s="22">
        <v>0.8645833333333334</v>
      </c>
      <c r="F389" s="47" t="s">
        <v>19</v>
      </c>
      <c r="G389" s="48" t="s">
        <v>33</v>
      </c>
      <c r="H389" s="53" t="s">
        <v>705</v>
      </c>
      <c r="I389" s="46" t="s">
        <v>59</v>
      </c>
      <c r="J389" s="50">
        <v>20034.0</v>
      </c>
      <c r="K389" s="54" t="s">
        <v>706</v>
      </c>
      <c r="L389" s="6" t="s">
        <v>682</v>
      </c>
      <c r="M389" s="51" t="str">
        <f t="shared" si="16"/>
        <v>4</v>
      </c>
      <c r="N389" s="51" t="str">
        <f t="shared" si="17"/>
        <v>3</v>
      </c>
      <c r="O389" s="1" t="str">
        <f t="shared" si="3"/>
        <v>43</v>
      </c>
      <c r="P389" s="1" t="str">
        <f t="shared" si="4"/>
        <v>LOSS</v>
      </c>
    </row>
    <row r="390" ht="15.75" customHeight="1">
      <c r="A390" s="52">
        <v>8.0</v>
      </c>
      <c r="B390" s="46" t="s">
        <v>707</v>
      </c>
      <c r="C390" s="10" t="s">
        <v>32</v>
      </c>
      <c r="D390" s="19" t="s">
        <v>708</v>
      </c>
      <c r="E390" s="22">
        <v>0.6770833333333334</v>
      </c>
      <c r="F390" s="47" t="s">
        <v>24</v>
      </c>
      <c r="G390" s="48" t="s">
        <v>43</v>
      </c>
      <c r="H390" s="53" t="s">
        <v>709</v>
      </c>
      <c r="I390" s="55">
        <v>37714.0</v>
      </c>
      <c r="J390" s="50">
        <v>83553.0</v>
      </c>
      <c r="K390" s="54" t="s">
        <v>710</v>
      </c>
      <c r="L390" s="6" t="s">
        <v>682</v>
      </c>
      <c r="M390" s="51" t="str">
        <f t="shared" si="16"/>
        <v>4</v>
      </c>
      <c r="N390" s="51" t="str">
        <f t="shared" si="17"/>
        <v>0</v>
      </c>
      <c r="O390" s="1" t="str">
        <f t="shared" si="3"/>
        <v>40</v>
      </c>
      <c r="P390" s="1" t="str">
        <f t="shared" si="4"/>
        <v>WIN</v>
      </c>
    </row>
    <row r="391" ht="15.75" customHeight="1">
      <c r="A391" s="52">
        <v>9.0</v>
      </c>
      <c r="B391" s="46" t="s">
        <v>711</v>
      </c>
      <c r="C391" s="10" t="s">
        <v>32</v>
      </c>
      <c r="D391" s="19" t="s">
        <v>712</v>
      </c>
      <c r="E391" s="22">
        <v>0.6770833333333334</v>
      </c>
      <c r="F391" s="47" t="s">
        <v>19</v>
      </c>
      <c r="G391" s="48" t="s">
        <v>43</v>
      </c>
      <c r="H391" s="53" t="s">
        <v>713</v>
      </c>
      <c r="I391" s="46" t="s">
        <v>59</v>
      </c>
      <c r="J391" s="50">
        <v>46770.0</v>
      </c>
      <c r="K391" s="54" t="s">
        <v>714</v>
      </c>
      <c r="L391" s="6" t="s">
        <v>682</v>
      </c>
      <c r="M391" s="51" t="str">
        <f t="shared" si="16"/>
        <v>2</v>
      </c>
      <c r="N391" s="51" t="str">
        <f t="shared" si="17"/>
        <v>3</v>
      </c>
      <c r="O391" s="1" t="str">
        <f t="shared" si="3"/>
        <v>23</v>
      </c>
      <c r="P391" s="1" t="str">
        <f t="shared" si="4"/>
        <v>WIN</v>
      </c>
    </row>
    <row r="392" ht="15.75" customHeight="1">
      <c r="A392" s="52">
        <v>10.0</v>
      </c>
      <c r="B392" s="46" t="s">
        <v>715</v>
      </c>
      <c r="C392" s="10" t="s">
        <v>32</v>
      </c>
      <c r="D392" s="19" t="s">
        <v>716</v>
      </c>
      <c r="E392" s="22">
        <v>0.8645833333333334</v>
      </c>
      <c r="F392" s="47" t="s">
        <v>24</v>
      </c>
      <c r="G392" s="48" t="s">
        <v>87</v>
      </c>
      <c r="H392" s="53" t="s">
        <v>717</v>
      </c>
      <c r="I392" s="46" t="s">
        <v>59</v>
      </c>
      <c r="J392" s="50">
        <v>82914.0</v>
      </c>
      <c r="K392" s="54" t="s">
        <v>718</v>
      </c>
      <c r="L392" s="6" t="s">
        <v>682</v>
      </c>
      <c r="M392" s="51" t="str">
        <f t="shared" si="16"/>
        <v>1</v>
      </c>
      <c r="N392" s="51" t="str">
        <f t="shared" si="17"/>
        <v>0</v>
      </c>
      <c r="O392" s="1" t="str">
        <f t="shared" si="3"/>
        <v>10</v>
      </c>
      <c r="P392" s="1" t="str">
        <f t="shared" si="4"/>
        <v>WIN</v>
      </c>
    </row>
    <row r="393" ht="15.75" customHeight="1">
      <c r="A393" s="52">
        <v>11.0</v>
      </c>
      <c r="B393" s="46" t="s">
        <v>719</v>
      </c>
      <c r="C393" s="10" t="s">
        <v>29</v>
      </c>
      <c r="D393" s="19" t="s">
        <v>720</v>
      </c>
      <c r="E393" s="22">
        <v>0.8645833333333334</v>
      </c>
      <c r="F393" s="47" t="s">
        <v>19</v>
      </c>
      <c r="G393" s="48" t="s">
        <v>33</v>
      </c>
      <c r="H393" s="53" t="s">
        <v>721</v>
      </c>
      <c r="I393" s="46" t="s">
        <v>59</v>
      </c>
      <c r="J393" s="50">
        <v>40812.0</v>
      </c>
      <c r="K393" s="54" t="s">
        <v>722</v>
      </c>
      <c r="L393" s="6" t="s">
        <v>682</v>
      </c>
      <c r="M393" s="51" t="str">
        <f t="shared" si="16"/>
        <v>1</v>
      </c>
      <c r="N393" s="51" t="str">
        <f t="shared" si="17"/>
        <v>2</v>
      </c>
      <c r="O393" s="1" t="str">
        <f t="shared" si="3"/>
        <v>12</v>
      </c>
      <c r="P393" s="1" t="str">
        <f t="shared" si="4"/>
        <v>WIN</v>
      </c>
    </row>
    <row r="394" ht="15.75" customHeight="1">
      <c r="A394" s="52">
        <v>12.0</v>
      </c>
      <c r="B394" s="46" t="s">
        <v>723</v>
      </c>
      <c r="C394" s="10" t="s">
        <v>32</v>
      </c>
      <c r="D394" s="19" t="s">
        <v>724</v>
      </c>
      <c r="E394" s="22">
        <v>0.6770833333333334</v>
      </c>
      <c r="F394" s="47" t="s">
        <v>24</v>
      </c>
      <c r="G394" s="48" t="s">
        <v>33</v>
      </c>
      <c r="H394" s="53" t="s">
        <v>725</v>
      </c>
      <c r="I394" s="46" t="s">
        <v>59</v>
      </c>
      <c r="J394" s="50">
        <v>83439.0</v>
      </c>
      <c r="K394" s="54" t="s">
        <v>726</v>
      </c>
      <c r="L394" s="6" t="s">
        <v>682</v>
      </c>
      <c r="M394" s="51" t="str">
        <f t="shared" si="16"/>
        <v>0</v>
      </c>
      <c r="N394" s="51" t="str">
        <f t="shared" si="17"/>
        <v>0</v>
      </c>
      <c r="O394" s="1" t="str">
        <f t="shared" si="3"/>
        <v>00</v>
      </c>
      <c r="P394" s="1" t="str">
        <f t="shared" si="4"/>
        <v>DRAW</v>
      </c>
    </row>
    <row r="395" ht="15.75" customHeight="1">
      <c r="A395" s="52">
        <v>13.0</v>
      </c>
      <c r="B395" s="46" t="s">
        <v>727</v>
      </c>
      <c r="C395" s="10" t="s">
        <v>29</v>
      </c>
      <c r="D395" s="19" t="s">
        <v>728</v>
      </c>
      <c r="E395" s="22">
        <v>0.8645833333333334</v>
      </c>
      <c r="F395" s="47" t="s">
        <v>19</v>
      </c>
      <c r="G395" s="48" t="s">
        <v>33</v>
      </c>
      <c r="H395" s="53" t="s">
        <v>729</v>
      </c>
      <c r="I395" s="46" t="s">
        <v>59</v>
      </c>
      <c r="J395" s="50">
        <v>27756.0</v>
      </c>
      <c r="K395" s="54" t="s">
        <v>730</v>
      </c>
      <c r="L395" s="6" t="s">
        <v>682</v>
      </c>
      <c r="M395" s="51" t="str">
        <f t="shared" si="16"/>
        <v>1</v>
      </c>
      <c r="N395" s="51" t="str">
        <f t="shared" si="17"/>
        <v>1</v>
      </c>
      <c r="O395" s="1" t="str">
        <f t="shared" si="3"/>
        <v>11</v>
      </c>
      <c r="P395" s="1" t="str">
        <f t="shared" si="4"/>
        <v>DRAW</v>
      </c>
    </row>
    <row r="396" ht="15.75" customHeight="1">
      <c r="A396" s="52">
        <v>14.0</v>
      </c>
      <c r="B396" s="46" t="s">
        <v>731</v>
      </c>
      <c r="C396" s="10" t="s">
        <v>32</v>
      </c>
      <c r="D396" s="19" t="s">
        <v>732</v>
      </c>
      <c r="E396" s="22">
        <v>0.6770833333333334</v>
      </c>
      <c r="F396" s="47" t="s">
        <v>24</v>
      </c>
      <c r="G396" s="48" t="s">
        <v>33</v>
      </c>
      <c r="H396" s="53" t="s">
        <v>733</v>
      </c>
      <c r="I396" s="46" t="s">
        <v>59</v>
      </c>
      <c r="J396" s="56">
        <v>98485.0</v>
      </c>
      <c r="K396" s="54" t="s">
        <v>734</v>
      </c>
      <c r="L396" s="6" t="s">
        <v>682</v>
      </c>
      <c r="M396" s="51" t="str">
        <f t="shared" si="16"/>
        <v>1</v>
      </c>
      <c r="N396" s="51" t="str">
        <f t="shared" si="17"/>
        <v>1</v>
      </c>
      <c r="O396" s="1" t="str">
        <f t="shared" si="3"/>
        <v>11</v>
      </c>
      <c r="P396" s="1" t="str">
        <f t="shared" si="4"/>
        <v>DRAW</v>
      </c>
    </row>
    <row r="397" ht="15.75" customHeight="1">
      <c r="A397" s="52">
        <v>15.0</v>
      </c>
      <c r="B397" s="46" t="s">
        <v>735</v>
      </c>
      <c r="C397" s="10" t="s">
        <v>32</v>
      </c>
      <c r="D397" s="19" t="s">
        <v>736</v>
      </c>
      <c r="E397" s="22">
        <v>0.5416666666666666</v>
      </c>
      <c r="F397" s="47" t="s">
        <v>19</v>
      </c>
      <c r="G397" s="48" t="s">
        <v>33</v>
      </c>
      <c r="H397" s="53" t="s">
        <v>737</v>
      </c>
      <c r="I397" s="46" t="s">
        <v>59</v>
      </c>
      <c r="J397" s="50">
        <v>17349.0</v>
      </c>
      <c r="K397" s="54" t="s">
        <v>738</v>
      </c>
      <c r="L397" s="6" t="s">
        <v>682</v>
      </c>
      <c r="M397" s="51" t="str">
        <f t="shared" si="16"/>
        <v>0</v>
      </c>
      <c r="N397" s="51" t="str">
        <f t="shared" si="17"/>
        <v>3</v>
      </c>
      <c r="O397" s="1" t="str">
        <f t="shared" si="3"/>
        <v>03</v>
      </c>
      <c r="P397" s="1" t="str">
        <f t="shared" si="4"/>
        <v>WIN</v>
      </c>
    </row>
    <row r="398" ht="15.75" customHeight="1">
      <c r="A398" s="52">
        <v>16.0</v>
      </c>
      <c r="B398" s="46" t="s">
        <v>739</v>
      </c>
      <c r="C398" s="10" t="s">
        <v>29</v>
      </c>
      <c r="D398" s="19" t="s">
        <v>740</v>
      </c>
      <c r="E398" s="22">
        <v>0.8645833333333334</v>
      </c>
      <c r="F398" s="47" t="s">
        <v>24</v>
      </c>
      <c r="G398" s="48" t="s">
        <v>33</v>
      </c>
      <c r="H398" s="53" t="s">
        <v>741</v>
      </c>
      <c r="I398" s="46" t="s">
        <v>59</v>
      </c>
      <c r="J398" s="50">
        <v>79370.0</v>
      </c>
      <c r="K398" s="54" t="s">
        <v>742</v>
      </c>
      <c r="L398" s="6" t="s">
        <v>682</v>
      </c>
      <c r="M398" s="51" t="str">
        <f t="shared" si="16"/>
        <v>4</v>
      </c>
      <c r="N398" s="51" t="str">
        <f t="shared" si="17"/>
        <v>1</v>
      </c>
      <c r="O398" s="1" t="str">
        <f t="shared" si="3"/>
        <v>41</v>
      </c>
      <c r="P398" s="1" t="str">
        <f t="shared" si="4"/>
        <v>WIN</v>
      </c>
    </row>
    <row r="399" ht="15.75" customHeight="1">
      <c r="A399" s="52">
        <v>17.0</v>
      </c>
      <c r="B399" s="46" t="s">
        <v>743</v>
      </c>
      <c r="C399" s="10" t="s">
        <v>29</v>
      </c>
      <c r="D399" s="19" t="s">
        <v>744</v>
      </c>
      <c r="E399" s="22">
        <v>0.8645833333333334</v>
      </c>
      <c r="F399" s="47" t="s">
        <v>19</v>
      </c>
      <c r="G399" s="48" t="s">
        <v>33</v>
      </c>
      <c r="H399" s="53" t="s">
        <v>745</v>
      </c>
      <c r="I399" s="46" t="s">
        <v>59</v>
      </c>
      <c r="J399" s="50">
        <v>22893.0</v>
      </c>
      <c r="K399" s="54" t="s">
        <v>746</v>
      </c>
      <c r="L399" s="6" t="s">
        <v>682</v>
      </c>
      <c r="M399" s="51" t="str">
        <f t="shared" si="16"/>
        <v>1</v>
      </c>
      <c r="N399" s="51" t="str">
        <f t="shared" si="17"/>
        <v>1</v>
      </c>
      <c r="O399" s="1" t="str">
        <f t="shared" si="3"/>
        <v>11</v>
      </c>
      <c r="P399" s="1" t="str">
        <f t="shared" si="4"/>
        <v>DRAW</v>
      </c>
    </row>
    <row r="400" ht="15.75" customHeight="1">
      <c r="A400" s="52">
        <v>18.0</v>
      </c>
      <c r="B400" s="46" t="s">
        <v>747</v>
      </c>
      <c r="C400" s="10" t="s">
        <v>32</v>
      </c>
      <c r="D400" s="19" t="s">
        <v>748</v>
      </c>
      <c r="E400" s="22">
        <v>0.6770833333333334</v>
      </c>
      <c r="F400" s="47" t="s">
        <v>24</v>
      </c>
      <c r="G400" s="48" t="s">
        <v>87</v>
      </c>
      <c r="H400" s="53" t="s">
        <v>749</v>
      </c>
      <c r="I400" s="46" t="s">
        <v>59</v>
      </c>
      <c r="J400" s="50">
        <v>81480.0</v>
      </c>
      <c r="K400" s="54" t="s">
        <v>750</v>
      </c>
      <c r="L400" s="6" t="s">
        <v>682</v>
      </c>
      <c r="M400" s="51" t="str">
        <f t="shared" si="16"/>
        <v>5</v>
      </c>
      <c r="N400" s="51" t="str">
        <f t="shared" si="17"/>
        <v>0</v>
      </c>
      <c r="O400" s="1" t="str">
        <f t="shared" si="3"/>
        <v>50</v>
      </c>
      <c r="P400" s="1" t="str">
        <f t="shared" si="4"/>
        <v>WIN</v>
      </c>
    </row>
    <row r="401" ht="15.75" customHeight="1">
      <c r="A401" s="52">
        <v>19.0</v>
      </c>
      <c r="B401" s="46" t="s">
        <v>751</v>
      </c>
      <c r="C401" s="10" t="s">
        <v>29</v>
      </c>
      <c r="D401" s="19" t="s">
        <v>752</v>
      </c>
      <c r="E401" s="22">
        <v>0.8645833333333334</v>
      </c>
      <c r="F401" s="47" t="s">
        <v>19</v>
      </c>
      <c r="G401" s="48" t="s">
        <v>87</v>
      </c>
      <c r="H401" s="53" t="s">
        <v>753</v>
      </c>
      <c r="I401" s="46" t="s">
        <v>59</v>
      </c>
      <c r="J401" s="50">
        <v>6340.0</v>
      </c>
      <c r="K401" s="54" t="s">
        <v>754</v>
      </c>
      <c r="L401" s="6" t="s">
        <v>682</v>
      </c>
      <c r="M401" s="51" t="str">
        <f t="shared" si="16"/>
        <v>0</v>
      </c>
      <c r="N401" s="51" t="str">
        <f t="shared" si="17"/>
        <v>4</v>
      </c>
      <c r="O401" s="1" t="str">
        <f t="shared" si="3"/>
        <v>04</v>
      </c>
      <c r="P401" s="1" t="str">
        <f t="shared" si="4"/>
        <v>WIN</v>
      </c>
    </row>
    <row r="402" ht="15.75" customHeight="1">
      <c r="A402" s="52">
        <v>20.0</v>
      </c>
      <c r="B402" s="46" t="s">
        <v>755</v>
      </c>
      <c r="C402" s="10" t="s">
        <v>29</v>
      </c>
      <c r="D402" s="19" t="s">
        <v>756</v>
      </c>
      <c r="E402" s="22">
        <v>0.5</v>
      </c>
      <c r="F402" s="47" t="s">
        <v>19</v>
      </c>
      <c r="G402" s="48" t="s">
        <v>87</v>
      </c>
      <c r="H402" s="53" t="s">
        <v>757</v>
      </c>
      <c r="I402" s="46" t="s">
        <v>59</v>
      </c>
      <c r="J402" s="50">
        <v>43790.0</v>
      </c>
      <c r="K402" s="54" t="s">
        <v>758</v>
      </c>
      <c r="L402" s="6" t="s">
        <v>682</v>
      </c>
      <c r="M402" s="51" t="str">
        <f t="shared" si="16"/>
        <v>1</v>
      </c>
      <c r="N402" s="51" t="str">
        <f t="shared" si="17"/>
        <v>1</v>
      </c>
      <c r="O402" s="1" t="str">
        <f t="shared" si="3"/>
        <v>11</v>
      </c>
      <c r="P402" s="1" t="str">
        <f t="shared" si="4"/>
        <v>DRAW</v>
      </c>
    </row>
    <row r="403" ht="15.75" customHeight="1">
      <c r="A403" s="52">
        <v>21.0</v>
      </c>
      <c r="B403" s="46" t="s">
        <v>759</v>
      </c>
      <c r="C403" s="10" t="s">
        <v>32</v>
      </c>
      <c r="D403" s="19" t="s">
        <v>760</v>
      </c>
      <c r="E403" s="22">
        <v>0.6770833333333334</v>
      </c>
      <c r="F403" s="47" t="s">
        <v>24</v>
      </c>
      <c r="G403" s="48" t="s">
        <v>33</v>
      </c>
      <c r="H403" s="53" t="s">
        <v>761</v>
      </c>
      <c r="I403" s="46" t="s">
        <v>59</v>
      </c>
      <c r="J403" s="50">
        <v>83884.0</v>
      </c>
      <c r="K403" s="54" t="s">
        <v>762</v>
      </c>
      <c r="L403" s="6" t="s">
        <v>682</v>
      </c>
      <c r="M403" s="51" t="str">
        <f t="shared" si="16"/>
        <v>3</v>
      </c>
      <c r="N403" s="51" t="str">
        <f t="shared" si="17"/>
        <v>0</v>
      </c>
      <c r="O403" s="1" t="str">
        <f t="shared" si="3"/>
        <v>30</v>
      </c>
      <c r="P403" s="1" t="str">
        <f t="shared" si="4"/>
        <v>WIN</v>
      </c>
    </row>
    <row r="404" ht="15.75" customHeight="1">
      <c r="A404" s="52">
        <v>22.0</v>
      </c>
      <c r="B404" s="46" t="s">
        <v>763</v>
      </c>
      <c r="C404" s="10" t="s">
        <v>32</v>
      </c>
      <c r="D404" s="19" t="s">
        <v>764</v>
      </c>
      <c r="E404" s="22">
        <v>0.6770833333333334</v>
      </c>
      <c r="F404" s="47" t="s">
        <v>19</v>
      </c>
      <c r="G404" s="48" t="s">
        <v>33</v>
      </c>
      <c r="H404" s="53" t="s">
        <v>765</v>
      </c>
      <c r="I404" s="46" t="s">
        <v>59</v>
      </c>
      <c r="J404" s="50">
        <v>19307.0</v>
      </c>
      <c r="K404" s="54" t="s">
        <v>766</v>
      </c>
      <c r="L404" s="6" t="s">
        <v>682</v>
      </c>
      <c r="M404" s="51" t="str">
        <f t="shared" si="16"/>
        <v>0</v>
      </c>
      <c r="N404" s="51" t="str">
        <f t="shared" si="17"/>
        <v>6</v>
      </c>
      <c r="O404" s="1" t="str">
        <f t="shared" si="3"/>
        <v>06</v>
      </c>
      <c r="P404" s="1" t="str">
        <f t="shared" si="4"/>
        <v>WIN</v>
      </c>
    </row>
    <row r="405" ht="15.75" customHeight="1">
      <c r="A405" s="52">
        <v>23.0</v>
      </c>
      <c r="B405" s="46" t="s">
        <v>767</v>
      </c>
      <c r="C405" s="10" t="s">
        <v>29</v>
      </c>
      <c r="D405" s="19" t="s">
        <v>768</v>
      </c>
      <c r="E405" s="22">
        <v>0.8645833333333334</v>
      </c>
      <c r="F405" s="47" t="s">
        <v>24</v>
      </c>
      <c r="G405" s="48" t="s">
        <v>33</v>
      </c>
      <c r="H405" s="53" t="s">
        <v>769</v>
      </c>
      <c r="I405" s="46" t="s">
        <v>59</v>
      </c>
      <c r="J405" s="50">
        <v>63378.0</v>
      </c>
      <c r="K405" s="54" t="s">
        <v>770</v>
      </c>
      <c r="L405" s="6" t="s">
        <v>682</v>
      </c>
      <c r="M405" s="51" t="str">
        <f t="shared" si="16"/>
        <v>2</v>
      </c>
      <c r="N405" s="51" t="str">
        <f t="shared" si="17"/>
        <v>1</v>
      </c>
      <c r="O405" s="1" t="str">
        <f t="shared" si="3"/>
        <v>21</v>
      </c>
      <c r="P405" s="1" t="str">
        <f t="shared" si="4"/>
        <v>WIN</v>
      </c>
    </row>
    <row r="406" ht="15.75" customHeight="1">
      <c r="A406" s="52">
        <v>24.0</v>
      </c>
      <c r="B406" s="46" t="s">
        <v>771</v>
      </c>
      <c r="C406" s="10" t="s">
        <v>29</v>
      </c>
      <c r="D406" s="19" t="s">
        <v>772</v>
      </c>
      <c r="E406" s="22">
        <v>0.6770833333333334</v>
      </c>
      <c r="F406" s="47" t="s">
        <v>19</v>
      </c>
      <c r="G406" s="48" t="s">
        <v>33</v>
      </c>
      <c r="H406" s="53" t="s">
        <v>773</v>
      </c>
      <c r="I406" s="46" t="s">
        <v>59</v>
      </c>
      <c r="J406" s="50">
        <v>52573.0</v>
      </c>
      <c r="K406" s="54" t="s">
        <v>774</v>
      </c>
      <c r="L406" s="6" t="s">
        <v>682</v>
      </c>
      <c r="M406" s="51" t="str">
        <f t="shared" si="16"/>
        <v>1</v>
      </c>
      <c r="N406" s="51" t="str">
        <f t="shared" si="17"/>
        <v>2</v>
      </c>
      <c r="O406" s="1" t="str">
        <f t="shared" si="3"/>
        <v>12</v>
      </c>
      <c r="P406" s="1" t="str">
        <f t="shared" si="4"/>
        <v>WIN</v>
      </c>
    </row>
    <row r="407" ht="15.75" customHeight="1">
      <c r="A407" s="52">
        <v>25.0</v>
      </c>
      <c r="B407" s="46" t="s">
        <v>775</v>
      </c>
      <c r="C407" s="10" t="s">
        <v>23</v>
      </c>
      <c r="D407" s="19" t="s">
        <v>776</v>
      </c>
      <c r="E407" s="22">
        <v>0.8125</v>
      </c>
      <c r="F407" s="47" t="s">
        <v>24</v>
      </c>
      <c r="G407" s="48" t="s">
        <v>33</v>
      </c>
      <c r="H407" s="53" t="s">
        <v>777</v>
      </c>
      <c r="I407" s="55">
        <v>37714.0</v>
      </c>
      <c r="J407" s="50">
        <v>56605.0</v>
      </c>
      <c r="K407" s="54" t="s">
        <v>778</v>
      </c>
      <c r="L407" s="6" t="s">
        <v>682</v>
      </c>
      <c r="M407" s="51" t="str">
        <f t="shared" si="16"/>
        <v>6</v>
      </c>
      <c r="N407" s="51" t="str">
        <f t="shared" si="17"/>
        <v>1</v>
      </c>
      <c r="O407" s="1" t="str">
        <f t="shared" si="3"/>
        <v>61</v>
      </c>
      <c r="P407" s="1" t="str">
        <f t="shared" si="4"/>
        <v>WIN</v>
      </c>
    </row>
    <row r="408" ht="15.75" customHeight="1">
      <c r="A408" s="52">
        <v>26.0</v>
      </c>
      <c r="B408" s="46" t="s">
        <v>779</v>
      </c>
      <c r="C408" s="10" t="s">
        <v>32</v>
      </c>
      <c r="D408" s="19" t="s">
        <v>780</v>
      </c>
      <c r="E408" s="22">
        <v>0.8645833333333334</v>
      </c>
      <c r="F408" s="47" t="s">
        <v>24</v>
      </c>
      <c r="G408" s="48" t="s">
        <v>33</v>
      </c>
      <c r="H408" s="53" t="s">
        <v>781</v>
      </c>
      <c r="I408" s="46" t="s">
        <v>782</v>
      </c>
      <c r="J408" s="50">
        <v>77117.0</v>
      </c>
      <c r="K408" s="54" t="s">
        <v>783</v>
      </c>
      <c r="L408" s="6" t="s">
        <v>682</v>
      </c>
      <c r="M408" s="51" t="str">
        <f t="shared" si="16"/>
        <v>5</v>
      </c>
      <c r="N408" s="51" t="str">
        <f t="shared" si="17"/>
        <v>0</v>
      </c>
      <c r="O408" s="1" t="str">
        <f t="shared" si="3"/>
        <v>50</v>
      </c>
      <c r="P408" s="1" t="str">
        <f t="shared" si="4"/>
        <v>WIN</v>
      </c>
    </row>
    <row r="409" ht="15.75" customHeight="1">
      <c r="A409" s="52">
        <v>27.0</v>
      </c>
      <c r="B409" s="46" t="s">
        <v>784</v>
      </c>
      <c r="C409" s="10" t="s">
        <v>29</v>
      </c>
      <c r="D409" s="19" t="s">
        <v>785</v>
      </c>
      <c r="E409" s="22">
        <v>0.6770833333333334</v>
      </c>
      <c r="F409" s="47" t="s">
        <v>19</v>
      </c>
      <c r="G409" s="48" t="s">
        <v>33</v>
      </c>
      <c r="H409" s="57" t="s">
        <v>786</v>
      </c>
      <c r="I409" s="46" t="s">
        <v>59</v>
      </c>
      <c r="J409" s="50">
        <v>28473.0</v>
      </c>
      <c r="K409" s="54" t="s">
        <v>787</v>
      </c>
      <c r="L409" s="6" t="s">
        <v>682</v>
      </c>
      <c r="M409" s="51" t="str">
        <f t="shared" si="16"/>
        <v>2</v>
      </c>
      <c r="N409" s="51" t="str">
        <f t="shared" si="17"/>
        <v>1</v>
      </c>
      <c r="O409" s="1" t="str">
        <f t="shared" si="3"/>
        <v>21</v>
      </c>
      <c r="P409" s="1" t="str">
        <f t="shared" si="4"/>
        <v>LOSS</v>
      </c>
    </row>
    <row r="410" ht="15.75" customHeight="1">
      <c r="A410" s="52">
        <v>28.0</v>
      </c>
      <c r="B410" s="46" t="s">
        <v>788</v>
      </c>
      <c r="C410" s="10" t="s">
        <v>29</v>
      </c>
      <c r="D410" s="19" t="s">
        <v>789</v>
      </c>
      <c r="E410" s="22">
        <v>0.8645833333333334</v>
      </c>
      <c r="F410" s="47" t="s">
        <v>24</v>
      </c>
      <c r="G410" s="48" t="s">
        <v>33</v>
      </c>
      <c r="H410" s="53" t="s">
        <v>790</v>
      </c>
      <c r="I410" s="46" t="s">
        <v>179</v>
      </c>
      <c r="J410" s="50">
        <v>78675.0</v>
      </c>
      <c r="K410" s="54" t="s">
        <v>791</v>
      </c>
      <c r="L410" s="6" t="s">
        <v>682</v>
      </c>
      <c r="M410" s="51" t="str">
        <f t="shared" si="16"/>
        <v>4</v>
      </c>
      <c r="N410" s="51" t="str">
        <f t="shared" si="17"/>
        <v>2</v>
      </c>
      <c r="O410" s="1" t="str">
        <f t="shared" si="3"/>
        <v>42</v>
      </c>
      <c r="P410" s="1" t="str">
        <f t="shared" si="4"/>
        <v>WIN</v>
      </c>
    </row>
    <row r="411" ht="15.75" customHeight="1">
      <c r="A411" s="52">
        <v>29.0</v>
      </c>
      <c r="B411" s="46" t="s">
        <v>792</v>
      </c>
      <c r="C411" s="10" t="s">
        <v>29</v>
      </c>
      <c r="D411" s="19" t="s">
        <v>793</v>
      </c>
      <c r="E411" s="22">
        <v>0.8645833333333334</v>
      </c>
      <c r="F411" s="47" t="s">
        <v>19</v>
      </c>
      <c r="G411" s="48" t="s">
        <v>33</v>
      </c>
      <c r="H411" s="53" t="s">
        <v>794</v>
      </c>
      <c r="I411" s="46" t="s">
        <v>59</v>
      </c>
      <c r="J411" s="50">
        <v>18676.0</v>
      </c>
      <c r="K411" s="54" t="s">
        <v>795</v>
      </c>
      <c r="L411" s="6" t="s">
        <v>682</v>
      </c>
      <c r="M411" s="51" t="str">
        <f t="shared" si="16"/>
        <v>1</v>
      </c>
      <c r="N411" s="51" t="str">
        <f t="shared" si="17"/>
        <v>4</v>
      </c>
      <c r="O411" s="1" t="str">
        <f t="shared" si="3"/>
        <v>14</v>
      </c>
      <c r="P411" s="1" t="str">
        <f t="shared" si="4"/>
        <v>WIN</v>
      </c>
    </row>
    <row r="412" ht="15.75" customHeight="1">
      <c r="A412" s="52">
        <v>30.0</v>
      </c>
      <c r="B412" s="46" t="s">
        <v>796</v>
      </c>
      <c r="C412" s="10" t="s">
        <v>23</v>
      </c>
      <c r="D412" s="19" t="s">
        <v>797</v>
      </c>
      <c r="E412" s="22">
        <v>0.8125</v>
      </c>
      <c r="F412" s="47" t="s">
        <v>24</v>
      </c>
      <c r="G412" s="48" t="s">
        <v>33</v>
      </c>
      <c r="H412" s="53" t="s">
        <v>798</v>
      </c>
      <c r="I412" s="55">
        <v>37714.0</v>
      </c>
      <c r="J412" s="50">
        <v>85511.0</v>
      </c>
      <c r="K412" s="54" t="s">
        <v>799</v>
      </c>
      <c r="L412" s="6" t="s">
        <v>682</v>
      </c>
      <c r="M412" s="51" t="str">
        <f t="shared" si="16"/>
        <v>3</v>
      </c>
      <c r="N412" s="51" t="str">
        <f t="shared" si="17"/>
        <v>0</v>
      </c>
      <c r="O412" s="1" t="str">
        <f t="shared" si="3"/>
        <v>30</v>
      </c>
      <c r="P412" s="1" t="str">
        <f t="shared" si="4"/>
        <v>WIN</v>
      </c>
    </row>
    <row r="413" ht="15.75" customHeight="1">
      <c r="A413" s="52">
        <v>31.0</v>
      </c>
      <c r="B413" s="46" t="s">
        <v>800</v>
      </c>
      <c r="C413" s="10" t="s">
        <v>32</v>
      </c>
      <c r="D413" s="19" t="s">
        <v>801</v>
      </c>
      <c r="E413" s="22">
        <v>0.8645833333333334</v>
      </c>
      <c r="F413" s="47" t="s">
        <v>19</v>
      </c>
      <c r="G413" s="48" t="s">
        <v>33</v>
      </c>
      <c r="H413" s="53" t="s">
        <v>802</v>
      </c>
      <c r="I413" s="46" t="s">
        <v>59</v>
      </c>
      <c r="J413" s="50">
        <v>28314.0</v>
      </c>
      <c r="K413" s="54" t="s">
        <v>803</v>
      </c>
      <c r="L413" s="6" t="s">
        <v>682</v>
      </c>
      <c r="M413" s="51" t="str">
        <f t="shared" si="16"/>
        <v>2</v>
      </c>
      <c r="N413" s="51" t="str">
        <f t="shared" si="17"/>
        <v>0</v>
      </c>
      <c r="O413" s="1" t="str">
        <f t="shared" si="3"/>
        <v>20</v>
      </c>
      <c r="P413" s="1" t="str">
        <f t="shared" si="4"/>
        <v>LOSS</v>
      </c>
    </row>
    <row r="414" ht="15.75" customHeight="1">
      <c r="A414" s="52">
        <v>32.0</v>
      </c>
      <c r="B414" s="46" t="s">
        <v>804</v>
      </c>
      <c r="C414" s="10" t="s">
        <v>32</v>
      </c>
      <c r="D414" s="19" t="s">
        <v>805</v>
      </c>
      <c r="E414" s="22">
        <v>0.8645833333333334</v>
      </c>
      <c r="F414" s="47" t="s">
        <v>24</v>
      </c>
      <c r="G414" s="48" t="s">
        <v>33</v>
      </c>
      <c r="H414" s="53" t="s">
        <v>806</v>
      </c>
      <c r="I414" s="46" t="s">
        <v>59</v>
      </c>
      <c r="J414" s="50">
        <v>81704.0</v>
      </c>
      <c r="K414" s="54" t="s">
        <v>807</v>
      </c>
      <c r="L414" s="6" t="s">
        <v>682</v>
      </c>
      <c r="M414" s="51" t="str">
        <f t="shared" si="16"/>
        <v>3</v>
      </c>
      <c r="N414" s="51" t="str">
        <f t="shared" si="17"/>
        <v>2</v>
      </c>
      <c r="O414" s="1" t="str">
        <f t="shared" si="3"/>
        <v>32</v>
      </c>
      <c r="P414" s="1" t="str">
        <f t="shared" si="4"/>
        <v>WIN</v>
      </c>
    </row>
    <row r="415" ht="15.75" customHeight="1">
      <c r="A415" s="52">
        <v>33.0</v>
      </c>
      <c r="B415" s="46" t="s">
        <v>808</v>
      </c>
      <c r="C415" s="10" t="s">
        <v>29</v>
      </c>
      <c r="D415" s="19" t="s">
        <v>809</v>
      </c>
      <c r="E415" s="22">
        <v>0.8645833333333334</v>
      </c>
      <c r="F415" s="47" t="s">
        <v>19</v>
      </c>
      <c r="G415" s="48" t="s">
        <v>33</v>
      </c>
      <c r="H415" s="53" t="s">
        <v>810</v>
      </c>
      <c r="I415" s="46" t="s">
        <v>59</v>
      </c>
      <c r="J415" s="56">
        <v>81044.0</v>
      </c>
      <c r="K415" s="54" t="s">
        <v>811</v>
      </c>
      <c r="L415" s="6" t="s">
        <v>682</v>
      </c>
      <c r="M415" s="51" t="str">
        <f t="shared" si="16"/>
        <v>2</v>
      </c>
      <c r="N415" s="51" t="str">
        <f t="shared" si="17"/>
        <v>3</v>
      </c>
      <c r="O415" s="1" t="str">
        <f t="shared" si="3"/>
        <v>23</v>
      </c>
      <c r="P415" s="1" t="str">
        <f t="shared" si="4"/>
        <v>WIN</v>
      </c>
    </row>
    <row r="416" ht="15.75" customHeight="1">
      <c r="A416" s="52">
        <v>34.0</v>
      </c>
      <c r="B416" s="46" t="s">
        <v>812</v>
      </c>
      <c r="C416" s="10" t="s">
        <v>23</v>
      </c>
      <c r="D416" s="19" t="s">
        <v>813</v>
      </c>
      <c r="E416" s="22">
        <v>0.8125</v>
      </c>
      <c r="F416" s="47" t="s">
        <v>24</v>
      </c>
      <c r="G416" s="48" t="s">
        <v>33</v>
      </c>
      <c r="H416" s="53" t="s">
        <v>814</v>
      </c>
      <c r="I416" s="46" t="s">
        <v>179</v>
      </c>
      <c r="J416" s="50">
        <v>63989.0</v>
      </c>
      <c r="K416" s="54" t="s">
        <v>815</v>
      </c>
      <c r="L416" s="6" t="s">
        <v>682</v>
      </c>
      <c r="M416" s="51" t="str">
        <f t="shared" si="16"/>
        <v>7</v>
      </c>
      <c r="N416" s="51" t="str">
        <f t="shared" si="17"/>
        <v>1</v>
      </c>
      <c r="O416" s="1" t="str">
        <f t="shared" si="3"/>
        <v>71</v>
      </c>
      <c r="P416" s="1" t="str">
        <f t="shared" si="4"/>
        <v>WIN</v>
      </c>
    </row>
    <row r="417" ht="15.75" customHeight="1">
      <c r="A417" s="52">
        <v>35.0</v>
      </c>
      <c r="B417" s="46" t="s">
        <v>816</v>
      </c>
      <c r="C417" s="10" t="s">
        <v>32</v>
      </c>
      <c r="D417" s="19" t="s">
        <v>817</v>
      </c>
      <c r="E417" s="22">
        <v>0.8645833333333334</v>
      </c>
      <c r="F417" s="47" t="s">
        <v>19</v>
      </c>
      <c r="G417" s="48" t="s">
        <v>33</v>
      </c>
      <c r="H417" s="53" t="s">
        <v>818</v>
      </c>
      <c r="I417" s="46" t="s">
        <v>59</v>
      </c>
      <c r="J417" s="50">
        <v>31708.0</v>
      </c>
      <c r="K417" s="54" t="s">
        <v>819</v>
      </c>
      <c r="L417" s="6" t="s">
        <v>682</v>
      </c>
      <c r="M417" s="51" t="str">
        <f t="shared" si="16"/>
        <v>0</v>
      </c>
      <c r="N417" s="51" t="str">
        <f t="shared" si="17"/>
        <v>3</v>
      </c>
      <c r="O417" s="1" t="str">
        <f t="shared" si="3"/>
        <v>03</v>
      </c>
      <c r="P417" s="1" t="str">
        <f t="shared" si="4"/>
        <v>WIN</v>
      </c>
    </row>
    <row r="418" ht="15.75" customHeight="1">
      <c r="A418" s="52">
        <v>36.0</v>
      </c>
      <c r="B418" s="46" t="s">
        <v>820</v>
      </c>
      <c r="C418" s="10" t="s">
        <v>32</v>
      </c>
      <c r="D418" s="19" t="s">
        <v>821</v>
      </c>
      <c r="E418" s="22">
        <v>0.7708333333333334</v>
      </c>
      <c r="F418" s="47" t="s">
        <v>24</v>
      </c>
      <c r="G418" s="48" t="s">
        <v>33</v>
      </c>
      <c r="H418" s="53" t="s">
        <v>822</v>
      </c>
      <c r="I418" s="46" t="s">
        <v>59</v>
      </c>
      <c r="J418" s="50">
        <v>90461.0</v>
      </c>
      <c r="K418" s="54" t="s">
        <v>823</v>
      </c>
      <c r="L418" s="6" t="s">
        <v>682</v>
      </c>
      <c r="M418" s="51" t="str">
        <f t="shared" si="16"/>
        <v>4</v>
      </c>
      <c r="N418" s="51" t="str">
        <f t="shared" si="17"/>
        <v>1</v>
      </c>
      <c r="O418" s="1" t="str">
        <f t="shared" si="3"/>
        <v>41</v>
      </c>
      <c r="P418" s="1" t="str">
        <f t="shared" si="4"/>
        <v>WIN</v>
      </c>
    </row>
    <row r="419" ht="15.75" customHeight="1">
      <c r="A419" s="52">
        <v>37.0</v>
      </c>
      <c r="B419" s="46" t="s">
        <v>824</v>
      </c>
      <c r="C419" s="10" t="s">
        <v>29</v>
      </c>
      <c r="D419" s="19" t="s">
        <v>825</v>
      </c>
      <c r="E419" s="22">
        <v>0.8333333333333334</v>
      </c>
      <c r="F419" s="47" t="s">
        <v>19</v>
      </c>
      <c r="G419" s="48" t="s">
        <v>33</v>
      </c>
      <c r="H419" s="53" t="s">
        <v>826</v>
      </c>
      <c r="I419" s="46" t="s">
        <v>59</v>
      </c>
      <c r="J419" s="50">
        <v>22268.0</v>
      </c>
      <c r="K419" s="54" t="s">
        <v>827</v>
      </c>
      <c r="L419" s="6" t="s">
        <v>682</v>
      </c>
      <c r="M419" s="51" t="str">
        <f t="shared" si="16"/>
        <v>1</v>
      </c>
      <c r="N419" s="51" t="str">
        <f t="shared" si="17"/>
        <v>4</v>
      </c>
      <c r="O419" s="1" t="str">
        <f t="shared" si="3"/>
        <v>14</v>
      </c>
      <c r="P419" s="1" t="str">
        <f t="shared" si="4"/>
        <v>WIN</v>
      </c>
    </row>
    <row r="420" ht="15.75" customHeight="1">
      <c r="A420" s="52">
        <v>38.0</v>
      </c>
      <c r="B420" s="46" t="s">
        <v>828</v>
      </c>
      <c r="C420" s="10" t="s">
        <v>29</v>
      </c>
      <c r="D420" s="19" t="s">
        <v>829</v>
      </c>
      <c r="E420" s="22">
        <v>0.8333333333333334</v>
      </c>
      <c r="F420" s="47" t="s">
        <v>24</v>
      </c>
      <c r="G420" s="48" t="s">
        <v>33</v>
      </c>
      <c r="H420" s="53" t="s">
        <v>830</v>
      </c>
      <c r="I420" s="46" t="s">
        <v>59</v>
      </c>
      <c r="J420" s="50">
        <v>74932.0</v>
      </c>
      <c r="K420" s="54" t="s">
        <v>831</v>
      </c>
      <c r="L420" s="6" t="s">
        <v>682</v>
      </c>
      <c r="M420" s="51" t="str">
        <f t="shared" si="16"/>
        <v>4</v>
      </c>
      <c r="N420" s="51" t="str">
        <f t="shared" si="17"/>
        <v>2</v>
      </c>
      <c r="O420" s="1" t="str">
        <f t="shared" si="3"/>
        <v>42</v>
      </c>
      <c r="P420" s="1" t="str">
        <f t="shared" si="4"/>
        <v>WIN</v>
      </c>
    </row>
    <row r="421" ht="15.75" customHeight="1">
      <c r="A421" s="58" t="s">
        <v>331</v>
      </c>
      <c r="B421" s="46" t="s">
        <v>832</v>
      </c>
      <c r="C421" s="10" t="s">
        <v>26</v>
      </c>
      <c r="D421" s="19" t="str">
        <f t="shared" ref="D421:D556" si="18">right(B421,10)</f>
        <v>13/09/2016</v>
      </c>
      <c r="E421" s="22">
        <v>0.8645833333333334</v>
      </c>
      <c r="F421" s="47" t="s">
        <v>24</v>
      </c>
      <c r="H421" s="53" t="s">
        <v>833</v>
      </c>
      <c r="I421" s="46" t="s">
        <v>59</v>
      </c>
      <c r="J421" s="50">
        <v>73290.0</v>
      </c>
      <c r="K421" s="54" t="s">
        <v>834</v>
      </c>
      <c r="L421" s="6" t="s">
        <v>682</v>
      </c>
      <c r="M421" s="51" t="str">
        <f t="shared" si="16"/>
        <v>7</v>
      </c>
      <c r="N421" s="51" t="str">
        <f t="shared" si="17"/>
        <v>0</v>
      </c>
      <c r="O421" s="1" t="str">
        <f t="shared" si="3"/>
        <v>70</v>
      </c>
      <c r="P421" s="1" t="str">
        <f t="shared" si="4"/>
        <v>WIN</v>
      </c>
    </row>
    <row r="422" ht="15.75" customHeight="1">
      <c r="A422" s="58" t="s">
        <v>331</v>
      </c>
      <c r="B422" s="46" t="s">
        <v>835</v>
      </c>
      <c r="C422" s="10" t="s">
        <v>23</v>
      </c>
      <c r="D422" s="19" t="str">
        <f t="shared" si="18"/>
        <v>28/09/2016</v>
      </c>
      <c r="E422" s="22">
        <v>0.8645833333333334</v>
      </c>
      <c r="F422" s="47" t="s">
        <v>19</v>
      </c>
      <c r="H422" s="53" t="s">
        <v>836</v>
      </c>
      <c r="I422" s="46" t="s">
        <v>59</v>
      </c>
      <c r="J422" s="50">
        <v>46283.0</v>
      </c>
      <c r="K422" s="54" t="s">
        <v>837</v>
      </c>
      <c r="L422" s="6" t="s">
        <v>682</v>
      </c>
      <c r="M422" s="51" t="str">
        <f t="shared" si="16"/>
        <v>1</v>
      </c>
      <c r="N422" s="51" t="str">
        <f t="shared" si="17"/>
        <v>2</v>
      </c>
      <c r="O422" s="1" t="str">
        <f t="shared" si="3"/>
        <v>12</v>
      </c>
      <c r="P422" s="1" t="str">
        <f t="shared" si="4"/>
        <v>WIN</v>
      </c>
    </row>
    <row r="423" ht="15.75" customHeight="1">
      <c r="A423" s="58" t="s">
        <v>331</v>
      </c>
      <c r="B423" s="46" t="s">
        <v>838</v>
      </c>
      <c r="C423" s="10" t="s">
        <v>23</v>
      </c>
      <c r="D423" s="19" t="str">
        <f t="shared" si="18"/>
        <v>19/10/2016</v>
      </c>
      <c r="E423" s="22">
        <v>0.8645833333333334</v>
      </c>
      <c r="F423" s="47" t="s">
        <v>24</v>
      </c>
      <c r="H423" s="53" t="s">
        <v>839</v>
      </c>
      <c r="I423" s="46" t="s">
        <v>59</v>
      </c>
      <c r="J423" s="50">
        <v>96290.0</v>
      </c>
      <c r="K423" s="54" t="s">
        <v>840</v>
      </c>
      <c r="L423" s="6" t="s">
        <v>682</v>
      </c>
      <c r="M423" s="51" t="str">
        <f t="shared" si="16"/>
        <v>4</v>
      </c>
      <c r="N423" s="51" t="str">
        <f t="shared" si="17"/>
        <v>0</v>
      </c>
      <c r="O423" s="1" t="str">
        <f t="shared" si="3"/>
        <v>40</v>
      </c>
      <c r="P423" s="1" t="str">
        <f t="shared" si="4"/>
        <v>WIN</v>
      </c>
    </row>
    <row r="424" ht="15.75" customHeight="1">
      <c r="A424" s="58" t="s">
        <v>331</v>
      </c>
      <c r="B424" s="46" t="s">
        <v>841</v>
      </c>
      <c r="C424" s="10" t="s">
        <v>26</v>
      </c>
      <c r="D424" s="19" t="str">
        <f t="shared" si="18"/>
        <v>01/11/2016</v>
      </c>
      <c r="E424" s="22">
        <v>0.8645833333333334</v>
      </c>
      <c r="F424" s="47" t="s">
        <v>19</v>
      </c>
      <c r="H424" s="53" t="s">
        <v>842</v>
      </c>
      <c r="I424" s="46" t="s">
        <v>59</v>
      </c>
      <c r="J424" s="50">
        <v>53340.0</v>
      </c>
      <c r="K424" s="54" t="s">
        <v>843</v>
      </c>
      <c r="L424" s="6" t="s">
        <v>682</v>
      </c>
      <c r="M424" s="51" t="str">
        <f t="shared" si="16"/>
        <v>3</v>
      </c>
      <c r="N424" s="51" t="str">
        <f t="shared" si="17"/>
        <v>1</v>
      </c>
      <c r="O424" s="1" t="str">
        <f t="shared" si="3"/>
        <v>31</v>
      </c>
      <c r="P424" s="1" t="str">
        <f t="shared" si="4"/>
        <v>LOSS</v>
      </c>
    </row>
    <row r="425" ht="15.75" customHeight="1">
      <c r="A425" s="58" t="s">
        <v>331</v>
      </c>
      <c r="B425" s="46" t="s">
        <v>844</v>
      </c>
      <c r="C425" s="10" t="s">
        <v>23</v>
      </c>
      <c r="D425" s="19" t="str">
        <f t="shared" si="18"/>
        <v>23/11/2016</v>
      </c>
      <c r="E425" s="22">
        <v>0.8645833333333334</v>
      </c>
      <c r="F425" s="47" t="s">
        <v>19</v>
      </c>
      <c r="H425" s="53" t="s">
        <v>845</v>
      </c>
      <c r="I425" s="46" t="s">
        <v>59</v>
      </c>
      <c r="J425" s="50">
        <v>57937.0</v>
      </c>
      <c r="K425" s="54" t="s">
        <v>846</v>
      </c>
      <c r="L425" s="6" t="s">
        <v>682</v>
      </c>
      <c r="M425" s="51" t="str">
        <f t="shared" si="16"/>
        <v>0</v>
      </c>
      <c r="N425" s="51" t="str">
        <f t="shared" si="17"/>
        <v>2</v>
      </c>
      <c r="O425" s="1" t="str">
        <f t="shared" si="3"/>
        <v>02</v>
      </c>
      <c r="P425" s="1" t="str">
        <f t="shared" si="4"/>
        <v>WIN</v>
      </c>
    </row>
    <row r="426" ht="15.75" customHeight="1">
      <c r="A426" s="58" t="s">
        <v>331</v>
      </c>
      <c r="B426" s="46" t="s">
        <v>847</v>
      </c>
      <c r="C426" s="10" t="s">
        <v>26</v>
      </c>
      <c r="D426" s="19" t="str">
        <f t="shared" si="18"/>
        <v>06/12/2016</v>
      </c>
      <c r="E426" s="22">
        <v>0.8645833333333334</v>
      </c>
      <c r="F426" s="47" t="s">
        <v>24</v>
      </c>
      <c r="H426" s="53" t="s">
        <v>848</v>
      </c>
      <c r="I426" s="46" t="s">
        <v>59</v>
      </c>
      <c r="J426" s="50">
        <v>67157.0</v>
      </c>
      <c r="K426" s="54" t="s">
        <v>849</v>
      </c>
      <c r="L426" s="6" t="s">
        <v>682</v>
      </c>
      <c r="M426" s="51" t="str">
        <f t="shared" si="16"/>
        <v>4</v>
      </c>
      <c r="N426" s="51" t="str">
        <f t="shared" si="17"/>
        <v>0</v>
      </c>
      <c r="O426" s="1" t="str">
        <f t="shared" si="3"/>
        <v>40</v>
      </c>
      <c r="P426" s="1" t="str">
        <f t="shared" si="4"/>
        <v>WIN</v>
      </c>
    </row>
    <row r="427" ht="15.75" customHeight="1">
      <c r="A427" s="58" t="s">
        <v>143</v>
      </c>
      <c r="B427" s="46" t="s">
        <v>850</v>
      </c>
      <c r="C427" s="10" t="s">
        <v>26</v>
      </c>
      <c r="D427" s="19" t="str">
        <f t="shared" si="18"/>
        <v>14/02/2017</v>
      </c>
      <c r="E427" s="22">
        <v>0.8645833333333334</v>
      </c>
      <c r="F427" s="47" t="s">
        <v>19</v>
      </c>
      <c r="H427" s="53" t="s">
        <v>851</v>
      </c>
      <c r="I427" s="46" t="s">
        <v>59</v>
      </c>
      <c r="J427" s="50">
        <v>46484.0</v>
      </c>
      <c r="K427" s="54" t="s">
        <v>852</v>
      </c>
      <c r="L427" s="6" t="s">
        <v>682</v>
      </c>
      <c r="M427" s="51" t="str">
        <f t="shared" si="16"/>
        <v>4</v>
      </c>
      <c r="N427" s="51" t="str">
        <f t="shared" si="17"/>
        <v>0</v>
      </c>
      <c r="O427" s="1" t="str">
        <f t="shared" si="3"/>
        <v>40</v>
      </c>
      <c r="P427" s="1" t="str">
        <f t="shared" si="4"/>
        <v>LOSS</v>
      </c>
    </row>
    <row r="428" ht="15.75" customHeight="1">
      <c r="A428" s="58" t="s">
        <v>145</v>
      </c>
      <c r="B428" s="46" t="s">
        <v>853</v>
      </c>
      <c r="C428" s="10" t="s">
        <v>23</v>
      </c>
      <c r="D428" s="19" t="str">
        <f t="shared" si="18"/>
        <v>08/03/2017</v>
      </c>
      <c r="E428" s="22">
        <v>0.8645833333333334</v>
      </c>
      <c r="F428" s="47" t="s">
        <v>24</v>
      </c>
      <c r="H428" s="53" t="s">
        <v>854</v>
      </c>
      <c r="I428" s="46" t="s">
        <v>855</v>
      </c>
      <c r="J428" s="50">
        <v>96290.0</v>
      </c>
      <c r="K428" s="54" t="s">
        <v>856</v>
      </c>
      <c r="L428" s="6" t="s">
        <v>682</v>
      </c>
      <c r="M428" s="51" t="str">
        <f t="shared" si="16"/>
        <v>6</v>
      </c>
      <c r="N428" s="51" t="str">
        <f t="shared" si="17"/>
        <v>1</v>
      </c>
      <c r="O428" s="1" t="str">
        <f t="shared" si="3"/>
        <v>61</v>
      </c>
      <c r="P428" s="1" t="str">
        <f t="shared" si="4"/>
        <v>WIN</v>
      </c>
    </row>
    <row r="429" ht="15.75" customHeight="1">
      <c r="A429" s="58" t="s">
        <v>147</v>
      </c>
      <c r="B429" s="46" t="s">
        <v>857</v>
      </c>
      <c r="C429" s="10" t="s">
        <v>26</v>
      </c>
      <c r="D429" s="19" t="str">
        <f t="shared" si="18"/>
        <v>11/04/2017</v>
      </c>
      <c r="E429" s="22">
        <v>0.8645833333333334</v>
      </c>
      <c r="F429" s="47" t="s">
        <v>19</v>
      </c>
      <c r="H429" s="53" t="s">
        <v>858</v>
      </c>
      <c r="I429" s="46" t="s">
        <v>59</v>
      </c>
      <c r="J429" s="50">
        <v>41092.0</v>
      </c>
      <c r="K429" s="54" t="s">
        <v>859</v>
      </c>
      <c r="L429" s="6" t="s">
        <v>682</v>
      </c>
      <c r="M429" s="51" t="str">
        <f t="shared" si="16"/>
        <v>3</v>
      </c>
      <c r="N429" s="51" t="str">
        <f t="shared" si="17"/>
        <v>0</v>
      </c>
      <c r="O429" s="1" t="str">
        <f t="shared" si="3"/>
        <v>30</v>
      </c>
      <c r="P429" s="1" t="str">
        <f t="shared" si="4"/>
        <v>LOSS</v>
      </c>
    </row>
    <row r="430" ht="15.75" customHeight="1">
      <c r="A430" s="58" t="s">
        <v>149</v>
      </c>
      <c r="B430" s="46" t="s">
        <v>860</v>
      </c>
      <c r="C430" s="10" t="s">
        <v>23</v>
      </c>
      <c r="D430" s="19" t="str">
        <f t="shared" si="18"/>
        <v>19/04/2017</v>
      </c>
      <c r="E430" s="22">
        <v>0.8645833333333334</v>
      </c>
      <c r="F430" s="47" t="s">
        <v>24</v>
      </c>
      <c r="H430" s="53" t="s">
        <v>861</v>
      </c>
      <c r="I430" s="46" t="s">
        <v>59</v>
      </c>
      <c r="J430" s="50">
        <v>96290.0</v>
      </c>
      <c r="K430" s="54" t="s">
        <v>862</v>
      </c>
      <c r="L430" s="6" t="s">
        <v>682</v>
      </c>
      <c r="M430" s="51" t="str">
        <f t="shared" si="16"/>
        <v>0</v>
      </c>
      <c r="N430" s="51" t="str">
        <f t="shared" si="17"/>
        <v>0</v>
      </c>
      <c r="O430" s="1" t="str">
        <f t="shared" si="3"/>
        <v>00</v>
      </c>
      <c r="P430" s="1" t="str">
        <f t="shared" si="4"/>
        <v>DRAW</v>
      </c>
    </row>
    <row r="431" ht="15.75" customHeight="1">
      <c r="A431" s="58" t="s">
        <v>339</v>
      </c>
      <c r="B431" s="46" t="s">
        <v>863</v>
      </c>
      <c r="C431" s="10" t="str">
        <f t="shared" ref="C431:C556" si="19">left(B431,3)</f>
        <v>Wed</v>
      </c>
      <c r="D431" s="19" t="str">
        <f t="shared" si="18"/>
        <v>30/11/2016</v>
      </c>
      <c r="E431" s="59">
        <v>0.875</v>
      </c>
      <c r="F431" s="47" t="s">
        <v>19</v>
      </c>
      <c r="H431" s="53" t="s">
        <v>864</v>
      </c>
      <c r="I431" s="46" t="s">
        <v>59</v>
      </c>
      <c r="J431" s="50">
        <v>14250.0</v>
      </c>
      <c r="K431" s="54" t="s">
        <v>865</v>
      </c>
      <c r="L431" s="6" t="s">
        <v>682</v>
      </c>
      <c r="M431" s="51" t="str">
        <f t="shared" si="16"/>
        <v>1</v>
      </c>
      <c r="N431" s="51" t="str">
        <f t="shared" si="17"/>
        <v>1</v>
      </c>
      <c r="O431" s="1" t="str">
        <f t="shared" si="3"/>
        <v>11</v>
      </c>
      <c r="P431" s="1" t="str">
        <f t="shared" si="4"/>
        <v>DRAW</v>
      </c>
    </row>
    <row r="432" ht="15.75" customHeight="1">
      <c r="A432" s="58" t="s">
        <v>342</v>
      </c>
      <c r="B432" s="46" t="s">
        <v>866</v>
      </c>
      <c r="C432" s="10" t="str">
        <f t="shared" si="19"/>
        <v>Wed</v>
      </c>
      <c r="D432" s="19" t="str">
        <f t="shared" si="18"/>
        <v>21/12/2016</v>
      </c>
      <c r="E432" s="59">
        <v>0.875</v>
      </c>
      <c r="F432" s="47" t="s">
        <v>24</v>
      </c>
      <c r="H432" s="53" t="s">
        <v>867</v>
      </c>
      <c r="I432" s="46" t="s">
        <v>59</v>
      </c>
      <c r="J432" s="50">
        <v>64025.0</v>
      </c>
      <c r="K432" s="54" t="s">
        <v>868</v>
      </c>
      <c r="L432" s="6" t="s">
        <v>682</v>
      </c>
      <c r="M432" s="51" t="str">
        <f t="shared" si="16"/>
        <v>7</v>
      </c>
      <c r="N432" s="51" t="str">
        <f t="shared" si="17"/>
        <v>0</v>
      </c>
      <c r="O432" s="1" t="str">
        <f t="shared" si="3"/>
        <v>70</v>
      </c>
      <c r="P432" s="1" t="str">
        <f t="shared" si="4"/>
        <v>WIN</v>
      </c>
    </row>
    <row r="433" ht="15.75" customHeight="1">
      <c r="A433" s="58" t="s">
        <v>143</v>
      </c>
      <c r="B433" s="46" t="s">
        <v>869</v>
      </c>
      <c r="C433" s="10" t="str">
        <f t="shared" si="19"/>
        <v>Thu</v>
      </c>
      <c r="D433" s="19" t="str">
        <f t="shared" si="18"/>
        <v>05/01/2017</v>
      </c>
      <c r="E433" s="59">
        <v>0.84375</v>
      </c>
      <c r="F433" s="47" t="s">
        <v>19</v>
      </c>
      <c r="H433" s="53" t="s">
        <v>870</v>
      </c>
      <c r="I433" s="46" t="s">
        <v>59</v>
      </c>
      <c r="J433" s="50">
        <v>45772.0</v>
      </c>
      <c r="K433" s="54" t="s">
        <v>871</v>
      </c>
      <c r="L433" s="6" t="s">
        <v>682</v>
      </c>
      <c r="M433" s="51" t="str">
        <f t="shared" si="16"/>
        <v>2</v>
      </c>
      <c r="N433" s="51" t="str">
        <f t="shared" si="17"/>
        <v>1</v>
      </c>
      <c r="O433" s="1" t="str">
        <f t="shared" si="3"/>
        <v>21</v>
      </c>
      <c r="P433" s="1" t="str">
        <f t="shared" si="4"/>
        <v>LOSS</v>
      </c>
    </row>
    <row r="434" ht="15.75" customHeight="1">
      <c r="A434" s="58" t="s">
        <v>145</v>
      </c>
      <c r="B434" s="46" t="s">
        <v>872</v>
      </c>
      <c r="C434" s="10" t="str">
        <f t="shared" si="19"/>
        <v>Wed</v>
      </c>
      <c r="D434" s="19" t="str">
        <f t="shared" si="18"/>
        <v>11/01/2017</v>
      </c>
      <c r="E434" s="59">
        <v>0.84375</v>
      </c>
      <c r="F434" s="47" t="s">
        <v>24</v>
      </c>
      <c r="H434" s="53" t="s">
        <v>873</v>
      </c>
      <c r="I434" s="46" t="s">
        <v>59</v>
      </c>
      <c r="J434" s="50">
        <v>71455.0</v>
      </c>
      <c r="K434" s="54" t="s">
        <v>874</v>
      </c>
      <c r="L434" s="6" t="s">
        <v>682</v>
      </c>
      <c r="M434" s="51" t="str">
        <f t="shared" si="16"/>
        <v>3</v>
      </c>
      <c r="N434" s="51" t="str">
        <f t="shared" si="17"/>
        <v>1</v>
      </c>
      <c r="O434" s="1" t="str">
        <f t="shared" si="3"/>
        <v>31</v>
      </c>
      <c r="P434" s="1" t="str">
        <f t="shared" si="4"/>
        <v>WIN</v>
      </c>
    </row>
    <row r="435" ht="15.75" customHeight="1">
      <c r="A435" s="58" t="s">
        <v>147</v>
      </c>
      <c r="B435" s="46" t="s">
        <v>875</v>
      </c>
      <c r="C435" s="10" t="str">
        <f t="shared" si="19"/>
        <v>Thu</v>
      </c>
      <c r="D435" s="19" t="str">
        <f t="shared" si="18"/>
        <v>19/01/2017</v>
      </c>
      <c r="E435" s="59">
        <v>0.84375</v>
      </c>
      <c r="F435" s="47" t="s">
        <v>19</v>
      </c>
      <c r="H435" s="53" t="s">
        <v>876</v>
      </c>
      <c r="I435" s="46" t="s">
        <v>59</v>
      </c>
      <c r="J435" s="50">
        <v>28461.0</v>
      </c>
      <c r="K435" s="54" t="s">
        <v>877</v>
      </c>
      <c r="L435" s="6" t="s">
        <v>682</v>
      </c>
      <c r="M435" s="51" t="str">
        <f t="shared" si="16"/>
        <v>0</v>
      </c>
      <c r="N435" s="51" t="str">
        <f t="shared" si="17"/>
        <v>1</v>
      </c>
      <c r="O435" s="1" t="str">
        <f t="shared" si="3"/>
        <v>01</v>
      </c>
      <c r="P435" s="1" t="str">
        <f t="shared" si="4"/>
        <v>WIN</v>
      </c>
    </row>
    <row r="436" ht="15.75" customHeight="1">
      <c r="A436" s="58" t="s">
        <v>149</v>
      </c>
      <c r="B436" s="46" t="s">
        <v>878</v>
      </c>
      <c r="C436" s="10" t="str">
        <f t="shared" si="19"/>
        <v>Thu</v>
      </c>
      <c r="D436" s="19" t="str">
        <f t="shared" si="18"/>
        <v>26/01/2017</v>
      </c>
      <c r="E436" s="59">
        <v>0.84375</v>
      </c>
      <c r="F436" s="47" t="s">
        <v>24</v>
      </c>
      <c r="H436" s="53" t="s">
        <v>879</v>
      </c>
      <c r="I436" s="46" t="s">
        <v>59</v>
      </c>
      <c r="J436" s="50">
        <v>58560.0</v>
      </c>
      <c r="K436" s="54" t="s">
        <v>880</v>
      </c>
      <c r="L436" s="6" t="s">
        <v>682</v>
      </c>
      <c r="M436" s="51" t="str">
        <f t="shared" si="16"/>
        <v>5</v>
      </c>
      <c r="N436" s="51" t="str">
        <f t="shared" si="17"/>
        <v>2</v>
      </c>
      <c r="O436" s="1" t="str">
        <f t="shared" si="3"/>
        <v>52</v>
      </c>
      <c r="P436" s="1" t="str">
        <f t="shared" si="4"/>
        <v>WIN</v>
      </c>
    </row>
    <row r="437" ht="15.75" customHeight="1">
      <c r="A437" s="58" t="s">
        <v>151</v>
      </c>
      <c r="B437" s="46" t="s">
        <v>881</v>
      </c>
      <c r="C437" s="10" t="str">
        <f t="shared" si="19"/>
        <v>Wed</v>
      </c>
      <c r="D437" s="19" t="str">
        <f t="shared" si="18"/>
        <v>01/02/2017</v>
      </c>
      <c r="E437" s="59">
        <v>0.8333333333333334</v>
      </c>
      <c r="F437" s="47" t="s">
        <v>19</v>
      </c>
      <c r="H437" s="53" t="s">
        <v>882</v>
      </c>
      <c r="I437" s="46" t="s">
        <v>59</v>
      </c>
      <c r="J437" s="50">
        <v>48214.0</v>
      </c>
      <c r="K437" s="54" t="s">
        <v>883</v>
      </c>
      <c r="L437" s="6" t="s">
        <v>682</v>
      </c>
      <c r="M437" s="51" t="str">
        <f t="shared" si="16"/>
        <v>1</v>
      </c>
      <c r="N437" s="51" t="str">
        <f t="shared" si="17"/>
        <v>2</v>
      </c>
      <c r="O437" s="1" t="str">
        <f t="shared" si="3"/>
        <v>12</v>
      </c>
      <c r="P437" s="1" t="str">
        <f t="shared" si="4"/>
        <v>WIN</v>
      </c>
    </row>
    <row r="438" ht="15.75" customHeight="1">
      <c r="A438" s="58" t="s">
        <v>154</v>
      </c>
      <c r="B438" s="46" t="s">
        <v>884</v>
      </c>
      <c r="C438" s="10" t="str">
        <f t="shared" si="19"/>
        <v>Tue</v>
      </c>
      <c r="D438" s="19" t="str">
        <f t="shared" si="18"/>
        <v>07/02/2017</v>
      </c>
      <c r="E438" s="59">
        <v>0.8333333333333334</v>
      </c>
      <c r="F438" s="47" t="s">
        <v>24</v>
      </c>
      <c r="H438" s="53" t="s">
        <v>885</v>
      </c>
      <c r="I438" s="46" t="s">
        <v>59</v>
      </c>
      <c r="J438" s="50">
        <v>67734.0</v>
      </c>
      <c r="K438" s="54" t="s">
        <v>886</v>
      </c>
      <c r="L438" s="6" t="s">
        <v>682</v>
      </c>
      <c r="M438" s="51" t="str">
        <f t="shared" si="16"/>
        <v>1</v>
      </c>
      <c r="N438" s="51" t="str">
        <f t="shared" si="17"/>
        <v>1</v>
      </c>
      <c r="O438" s="1" t="str">
        <f t="shared" si="3"/>
        <v>11</v>
      </c>
      <c r="P438" s="1" t="str">
        <f t="shared" si="4"/>
        <v>DRAW</v>
      </c>
    </row>
    <row r="439" ht="15.75" customHeight="1">
      <c r="A439" s="58" t="s">
        <v>169</v>
      </c>
      <c r="B439" s="46" t="s">
        <v>887</v>
      </c>
      <c r="C439" s="10" t="str">
        <f t="shared" si="19"/>
        <v>Sat</v>
      </c>
      <c r="D439" s="19" t="str">
        <f t="shared" si="18"/>
        <v>27/05/2017</v>
      </c>
      <c r="E439" s="59">
        <v>0.8541666666666666</v>
      </c>
      <c r="F439" s="47" t="s">
        <v>24</v>
      </c>
      <c r="H439" s="53" t="s">
        <v>888</v>
      </c>
      <c r="I439" s="46" t="s">
        <v>59</v>
      </c>
      <c r="J439" s="56">
        <v>54907.0</v>
      </c>
      <c r="K439" s="54" t="s">
        <v>889</v>
      </c>
      <c r="L439" s="6" t="s">
        <v>682</v>
      </c>
      <c r="M439" s="51" t="str">
        <f t="shared" si="16"/>
        <v>3</v>
      </c>
      <c r="N439" s="51" t="str">
        <f t="shared" si="17"/>
        <v>1</v>
      </c>
      <c r="O439" s="1" t="str">
        <f t="shared" si="3"/>
        <v>31</v>
      </c>
      <c r="P439" s="1" t="str">
        <f t="shared" si="4"/>
        <v>WIN</v>
      </c>
    </row>
    <row r="440" ht="15.75" customHeight="1">
      <c r="A440" s="52">
        <v>1.0</v>
      </c>
      <c r="B440" s="46" t="s">
        <v>890</v>
      </c>
      <c r="C440" s="10" t="str">
        <f t="shared" si="19"/>
        <v>Sun</v>
      </c>
      <c r="D440" s="19" t="str">
        <f t="shared" si="18"/>
        <v>23/08/2015</v>
      </c>
      <c r="E440" s="59">
        <v>0.7291666666666666</v>
      </c>
      <c r="F440" s="47" t="s">
        <v>19</v>
      </c>
      <c r="G440" s="48" t="s">
        <v>30</v>
      </c>
      <c r="H440" s="53" t="s">
        <v>891</v>
      </c>
      <c r="I440" s="46" t="s">
        <v>59</v>
      </c>
      <c r="J440" s="50">
        <v>44772.0</v>
      </c>
      <c r="K440" s="54" t="s">
        <v>892</v>
      </c>
      <c r="L440" s="6" t="s">
        <v>893</v>
      </c>
      <c r="M440" s="51" t="str">
        <f t="shared" si="16"/>
        <v>0</v>
      </c>
      <c r="N440" s="51" t="str">
        <f t="shared" si="17"/>
        <v>1</v>
      </c>
      <c r="O440" s="1" t="str">
        <f t="shared" si="3"/>
        <v>01</v>
      </c>
      <c r="P440" s="1" t="str">
        <f t="shared" si="4"/>
        <v>WIN</v>
      </c>
    </row>
    <row r="441" ht="15.75" customHeight="1">
      <c r="A441" s="52">
        <v>2.0</v>
      </c>
      <c r="B441" s="46" t="s">
        <v>894</v>
      </c>
      <c r="C441" s="10" t="str">
        <f t="shared" si="19"/>
        <v>Sat</v>
      </c>
      <c r="D441" s="19" t="str">
        <f t="shared" si="18"/>
        <v>29/08/2015</v>
      </c>
      <c r="E441" s="59">
        <v>0.8125</v>
      </c>
      <c r="F441" s="47" t="s">
        <v>24</v>
      </c>
      <c r="G441" s="48" t="s">
        <v>87</v>
      </c>
      <c r="H441" s="53" t="s">
        <v>895</v>
      </c>
      <c r="I441" s="46" t="s">
        <v>59</v>
      </c>
      <c r="J441" s="50">
        <v>80812.0</v>
      </c>
      <c r="K441" s="54" t="s">
        <v>896</v>
      </c>
      <c r="L441" s="6" t="s">
        <v>893</v>
      </c>
      <c r="M441" s="51" t="str">
        <f t="shared" si="16"/>
        <v>1</v>
      </c>
      <c r="N441" s="51" t="str">
        <f t="shared" si="17"/>
        <v>0</v>
      </c>
      <c r="O441" s="1" t="str">
        <f t="shared" si="3"/>
        <v>10</v>
      </c>
      <c r="P441" s="1" t="str">
        <f t="shared" si="4"/>
        <v>WIN</v>
      </c>
    </row>
    <row r="442" ht="15.75" customHeight="1">
      <c r="A442" s="52">
        <v>3.0</v>
      </c>
      <c r="B442" s="46" t="s">
        <v>897</v>
      </c>
      <c r="C442" s="10" t="str">
        <f t="shared" si="19"/>
        <v>Sat</v>
      </c>
      <c r="D442" s="19" t="str">
        <f t="shared" si="18"/>
        <v>12/09/2015</v>
      </c>
      <c r="E442" s="59">
        <v>0.8125</v>
      </c>
      <c r="F442" s="47" t="s">
        <v>19</v>
      </c>
      <c r="G442" s="48" t="s">
        <v>43</v>
      </c>
      <c r="H442" s="53" t="s">
        <v>898</v>
      </c>
      <c r="I442" s="46" t="s">
        <v>59</v>
      </c>
      <c r="J442" s="50">
        <v>51691.0</v>
      </c>
      <c r="K442" s="54" t="s">
        <v>899</v>
      </c>
      <c r="L442" s="6" t="s">
        <v>893</v>
      </c>
      <c r="M442" s="51" t="str">
        <f t="shared" si="16"/>
        <v>1</v>
      </c>
      <c r="N442" s="51" t="str">
        <f t="shared" si="17"/>
        <v>2</v>
      </c>
      <c r="O442" s="1" t="str">
        <f t="shared" si="3"/>
        <v>12</v>
      </c>
      <c r="P442" s="1" t="str">
        <f t="shared" si="4"/>
        <v>WIN</v>
      </c>
    </row>
    <row r="443" ht="15.75" customHeight="1">
      <c r="A443" s="52">
        <v>4.0</v>
      </c>
      <c r="B443" s="46" t="s">
        <v>900</v>
      </c>
      <c r="C443" s="10" t="str">
        <f t="shared" si="19"/>
        <v>Sun</v>
      </c>
      <c r="D443" s="19" t="str">
        <f t="shared" si="18"/>
        <v>20/09/2015</v>
      </c>
      <c r="E443" s="59">
        <v>0.8125</v>
      </c>
      <c r="F443" s="47" t="s">
        <v>24</v>
      </c>
      <c r="G443" s="48" t="s">
        <v>30</v>
      </c>
      <c r="H443" s="53" t="s">
        <v>901</v>
      </c>
      <c r="I443" s="46" t="s">
        <v>21</v>
      </c>
      <c r="J443" s="50">
        <v>74383.0</v>
      </c>
      <c r="K443" s="54" t="s">
        <v>902</v>
      </c>
      <c r="L443" s="6" t="s">
        <v>893</v>
      </c>
      <c r="M443" s="51" t="str">
        <f t="shared" si="16"/>
        <v>4</v>
      </c>
      <c r="N443" s="51" t="str">
        <f t="shared" si="17"/>
        <v>1</v>
      </c>
      <c r="O443" s="1" t="str">
        <f t="shared" si="3"/>
        <v>41</v>
      </c>
      <c r="P443" s="1" t="str">
        <f t="shared" si="4"/>
        <v>WIN</v>
      </c>
    </row>
    <row r="444" ht="15.75" customHeight="1">
      <c r="A444" s="52">
        <v>5.0</v>
      </c>
      <c r="B444" s="46" t="s">
        <v>903</v>
      </c>
      <c r="C444" s="10" t="str">
        <f t="shared" si="19"/>
        <v>Wed</v>
      </c>
      <c r="D444" s="19" t="str">
        <f t="shared" si="18"/>
        <v>23/09/2015</v>
      </c>
      <c r="E444" s="59">
        <v>0.7916666666666666</v>
      </c>
      <c r="F444" s="47" t="s">
        <v>19</v>
      </c>
      <c r="G444" s="48" t="s">
        <v>30</v>
      </c>
      <c r="H444" s="53" t="s">
        <v>904</v>
      </c>
      <c r="I444" s="46" t="s">
        <v>59</v>
      </c>
      <c r="J444" s="50">
        <v>23311.0</v>
      </c>
      <c r="K444" s="54" t="s">
        <v>905</v>
      </c>
      <c r="L444" s="6" t="s">
        <v>893</v>
      </c>
      <c r="M444" s="51" t="str">
        <f t="shared" si="16"/>
        <v>4</v>
      </c>
      <c r="N444" s="51" t="str">
        <f t="shared" si="17"/>
        <v>1</v>
      </c>
      <c r="O444" s="1" t="str">
        <f t="shared" si="3"/>
        <v>41</v>
      </c>
      <c r="P444" s="1" t="str">
        <f t="shared" si="4"/>
        <v>LOSS</v>
      </c>
    </row>
    <row r="445" ht="15.75" customHeight="1">
      <c r="A445" s="52">
        <v>6.0</v>
      </c>
      <c r="B445" s="46" t="s">
        <v>906</v>
      </c>
      <c r="C445" s="10" t="str">
        <f t="shared" si="19"/>
        <v>Sat</v>
      </c>
      <c r="D445" s="19" t="str">
        <f t="shared" si="18"/>
        <v>26/09/2015</v>
      </c>
      <c r="E445" s="59">
        <v>0.625</v>
      </c>
      <c r="F445" s="47" t="s">
        <v>24</v>
      </c>
      <c r="G445" s="48" t="s">
        <v>43</v>
      </c>
      <c r="H445" s="53" t="s">
        <v>907</v>
      </c>
      <c r="I445" s="46" t="s">
        <v>59</v>
      </c>
      <c r="J445" s="50">
        <v>73017.0</v>
      </c>
      <c r="K445" s="54" t="s">
        <v>908</v>
      </c>
      <c r="L445" s="6" t="s">
        <v>893</v>
      </c>
      <c r="M445" s="51" t="str">
        <f t="shared" si="16"/>
        <v>2</v>
      </c>
      <c r="N445" s="51" t="str">
        <f t="shared" si="17"/>
        <v>1</v>
      </c>
      <c r="O445" s="1" t="str">
        <f t="shared" si="3"/>
        <v>21</v>
      </c>
      <c r="P445" s="1" t="str">
        <f t="shared" si="4"/>
        <v>WIN</v>
      </c>
    </row>
    <row r="446" ht="15.75" customHeight="1">
      <c r="A446" s="52">
        <v>7.0</v>
      </c>
      <c r="B446" s="46" t="s">
        <v>909</v>
      </c>
      <c r="C446" s="10" t="str">
        <f t="shared" si="19"/>
        <v>Sat</v>
      </c>
      <c r="D446" s="19" t="str">
        <f t="shared" si="18"/>
        <v>03/10/2015</v>
      </c>
      <c r="E446" s="59">
        <v>0.625</v>
      </c>
      <c r="F446" s="47" t="s">
        <v>19</v>
      </c>
      <c r="G446" s="48" t="s">
        <v>33</v>
      </c>
      <c r="H446" s="53" t="s">
        <v>910</v>
      </c>
      <c r="I446" s="46" t="s">
        <v>59</v>
      </c>
      <c r="J446" s="50">
        <v>39374.0</v>
      </c>
      <c r="K446" s="54" t="s">
        <v>911</v>
      </c>
      <c r="L446" s="6" t="s">
        <v>893</v>
      </c>
      <c r="M446" s="51" t="str">
        <f t="shared" si="16"/>
        <v>2</v>
      </c>
      <c r="N446" s="51" t="str">
        <f t="shared" si="17"/>
        <v>1</v>
      </c>
      <c r="O446" s="1" t="str">
        <f t="shared" si="3"/>
        <v>21</v>
      </c>
      <c r="P446" s="1" t="str">
        <f t="shared" si="4"/>
        <v>LOSS</v>
      </c>
    </row>
    <row r="447" ht="15.75" customHeight="1">
      <c r="A447" s="52">
        <v>8.0</v>
      </c>
      <c r="B447" s="46" t="s">
        <v>912</v>
      </c>
      <c r="C447" s="10" t="str">
        <f t="shared" si="19"/>
        <v>Sat</v>
      </c>
      <c r="D447" s="19" t="str">
        <f t="shared" si="18"/>
        <v>17/10/2015</v>
      </c>
      <c r="E447" s="59">
        <v>0.8125</v>
      </c>
      <c r="F447" s="47" t="s">
        <v>24</v>
      </c>
      <c r="G447" s="48" t="s">
        <v>43</v>
      </c>
      <c r="H447" s="53" t="s">
        <v>913</v>
      </c>
      <c r="I447" s="46" t="s">
        <v>59</v>
      </c>
      <c r="J447" s="50">
        <v>73805.0</v>
      </c>
      <c r="K447" s="54" t="s">
        <v>914</v>
      </c>
      <c r="L447" s="6" t="s">
        <v>893</v>
      </c>
      <c r="M447" s="51" t="str">
        <f t="shared" si="16"/>
        <v>5</v>
      </c>
      <c r="N447" s="51" t="str">
        <f t="shared" si="17"/>
        <v>2</v>
      </c>
      <c r="O447" s="1" t="str">
        <f t="shared" si="3"/>
        <v>52</v>
      </c>
      <c r="P447" s="1" t="str">
        <f t="shared" si="4"/>
        <v>WIN</v>
      </c>
    </row>
    <row r="448" ht="15.75" customHeight="1">
      <c r="A448" s="52">
        <v>9.0</v>
      </c>
      <c r="B448" s="46" t="s">
        <v>915</v>
      </c>
      <c r="C448" s="10" t="str">
        <f t="shared" si="19"/>
        <v>Sun</v>
      </c>
      <c r="D448" s="19" t="str">
        <f t="shared" si="18"/>
        <v>25/10/2015</v>
      </c>
      <c r="E448" s="59">
        <v>0.71875</v>
      </c>
      <c r="F448" s="47" t="s">
        <v>24</v>
      </c>
      <c r="G448" s="48" t="s">
        <v>87</v>
      </c>
      <c r="H448" s="53" t="s">
        <v>916</v>
      </c>
      <c r="I448" s="46" t="s">
        <v>59</v>
      </c>
      <c r="J448" s="50">
        <v>76622.0</v>
      </c>
      <c r="K448" s="54" t="s">
        <v>917</v>
      </c>
      <c r="L448" s="6" t="s">
        <v>893</v>
      </c>
      <c r="M448" s="51" t="str">
        <f t="shared" si="16"/>
        <v>3</v>
      </c>
      <c r="N448" s="51" t="str">
        <f t="shared" si="17"/>
        <v>1</v>
      </c>
      <c r="O448" s="1" t="str">
        <f t="shared" si="3"/>
        <v>31</v>
      </c>
      <c r="P448" s="1" t="str">
        <f t="shared" si="4"/>
        <v>WIN</v>
      </c>
    </row>
    <row r="449" ht="15.75" customHeight="1">
      <c r="A449" s="52">
        <v>10.0</v>
      </c>
      <c r="B449" s="46" t="s">
        <v>918</v>
      </c>
      <c r="C449" s="10" t="str">
        <f t="shared" si="19"/>
        <v>Sat</v>
      </c>
      <c r="D449" s="19" t="str">
        <f t="shared" si="18"/>
        <v>31/10/2015</v>
      </c>
      <c r="E449" s="59">
        <v>0.8125</v>
      </c>
      <c r="F449" s="47" t="s">
        <v>19</v>
      </c>
      <c r="G449" s="48" t="s">
        <v>33</v>
      </c>
      <c r="H449" s="53" t="s">
        <v>919</v>
      </c>
      <c r="I449" s="46" t="s">
        <v>59</v>
      </c>
      <c r="J449" s="50">
        <v>10009.0</v>
      </c>
      <c r="K449" s="54" t="s">
        <v>920</v>
      </c>
      <c r="L449" s="6" t="s">
        <v>893</v>
      </c>
      <c r="M449" s="51" t="str">
        <f t="shared" si="16"/>
        <v>0</v>
      </c>
      <c r="N449" s="51" t="str">
        <f t="shared" si="17"/>
        <v>2</v>
      </c>
      <c r="O449" s="1" t="str">
        <f t="shared" si="3"/>
        <v>02</v>
      </c>
      <c r="P449" s="1" t="str">
        <f t="shared" si="4"/>
        <v>WIN</v>
      </c>
    </row>
    <row r="450" ht="15.75" customHeight="1">
      <c r="A450" s="52">
        <v>11.0</v>
      </c>
      <c r="B450" s="46" t="s">
        <v>921</v>
      </c>
      <c r="C450" s="10" t="str">
        <f t="shared" si="19"/>
        <v>Sun</v>
      </c>
      <c r="D450" s="19" t="str">
        <f t="shared" si="18"/>
        <v>08/11/2015</v>
      </c>
      <c r="E450" s="59">
        <v>0.625</v>
      </c>
      <c r="F450" s="47" t="s">
        <v>24</v>
      </c>
      <c r="G450" s="48" t="s">
        <v>33</v>
      </c>
      <c r="H450" s="53" t="s">
        <v>922</v>
      </c>
      <c r="I450" s="46" t="s">
        <v>59</v>
      </c>
      <c r="J450" s="50">
        <v>72585.0</v>
      </c>
      <c r="K450" s="54" t="s">
        <v>923</v>
      </c>
      <c r="L450" s="6" t="s">
        <v>893</v>
      </c>
      <c r="M450" s="51" t="str">
        <f t="shared" si="16"/>
        <v>3</v>
      </c>
      <c r="N450" s="51" t="str">
        <f t="shared" si="17"/>
        <v>0</v>
      </c>
      <c r="O450" s="1" t="str">
        <f t="shared" si="3"/>
        <v>30</v>
      </c>
      <c r="P450" s="1" t="str">
        <f t="shared" si="4"/>
        <v>WIN</v>
      </c>
    </row>
    <row r="451" ht="15.75" customHeight="1">
      <c r="A451" s="52">
        <v>12.0</v>
      </c>
      <c r="B451" s="46" t="s">
        <v>924</v>
      </c>
      <c r="C451" s="10" t="str">
        <f t="shared" si="19"/>
        <v>Sat</v>
      </c>
      <c r="D451" s="19" t="str">
        <f t="shared" si="18"/>
        <v>21/11/2015</v>
      </c>
      <c r="E451" s="59">
        <v>0.71875</v>
      </c>
      <c r="F451" s="47" t="s">
        <v>19</v>
      </c>
      <c r="G451" s="48" t="s">
        <v>30</v>
      </c>
      <c r="H451" s="53" t="s">
        <v>925</v>
      </c>
      <c r="I451" s="46" t="s">
        <v>59</v>
      </c>
      <c r="J451" s="50">
        <v>80148.0</v>
      </c>
      <c r="K451" s="54" t="s">
        <v>926</v>
      </c>
      <c r="L451" s="6" t="s">
        <v>893</v>
      </c>
      <c r="M451" s="51" t="str">
        <f t="shared" si="16"/>
        <v>0</v>
      </c>
      <c r="N451" s="51" t="str">
        <f t="shared" si="17"/>
        <v>4</v>
      </c>
      <c r="O451" s="1" t="str">
        <f t="shared" si="3"/>
        <v>04</v>
      </c>
      <c r="P451" s="1" t="str">
        <f t="shared" si="4"/>
        <v>WIN</v>
      </c>
    </row>
    <row r="452" ht="15.75" customHeight="1">
      <c r="A452" s="52">
        <v>13.0</v>
      </c>
      <c r="B452" s="46" t="s">
        <v>927</v>
      </c>
      <c r="C452" s="10" t="str">
        <f t="shared" si="19"/>
        <v>Sat</v>
      </c>
      <c r="D452" s="19" t="str">
        <f t="shared" si="18"/>
        <v>28/11/2015</v>
      </c>
      <c r="E452" s="59">
        <v>0.625</v>
      </c>
      <c r="F452" s="47" t="s">
        <v>24</v>
      </c>
      <c r="G452" s="48" t="s">
        <v>30</v>
      </c>
      <c r="H452" s="53" t="s">
        <v>928</v>
      </c>
      <c r="I452" s="46" t="s">
        <v>59</v>
      </c>
      <c r="J452" s="50">
        <v>74020.0</v>
      </c>
      <c r="K452" s="54" t="s">
        <v>929</v>
      </c>
      <c r="L452" s="6" t="s">
        <v>893</v>
      </c>
      <c r="M452" s="51" t="str">
        <f t="shared" si="16"/>
        <v>4</v>
      </c>
      <c r="N452" s="51" t="str">
        <f t="shared" si="17"/>
        <v>0</v>
      </c>
      <c r="O452" s="1" t="str">
        <f t="shared" si="3"/>
        <v>40</v>
      </c>
      <c r="P452" s="1" t="str">
        <f t="shared" si="4"/>
        <v>WIN</v>
      </c>
    </row>
    <row r="453" ht="15.75" customHeight="1">
      <c r="A453" s="52">
        <v>14.0</v>
      </c>
      <c r="B453" s="46" t="s">
        <v>930</v>
      </c>
      <c r="C453" s="10" t="str">
        <f t="shared" si="19"/>
        <v>Sat</v>
      </c>
      <c r="D453" s="19" t="str">
        <f t="shared" si="18"/>
        <v>05/12/2015</v>
      </c>
      <c r="E453" s="59">
        <v>0.8125</v>
      </c>
      <c r="F453" s="47" t="s">
        <v>19</v>
      </c>
      <c r="G453" s="48" t="s">
        <v>30</v>
      </c>
      <c r="H453" s="53" t="s">
        <v>931</v>
      </c>
      <c r="I453" s="46" t="s">
        <v>59</v>
      </c>
      <c r="J453" s="56">
        <v>46799.0</v>
      </c>
      <c r="K453" s="54" t="s">
        <v>932</v>
      </c>
      <c r="L453" s="6" t="s">
        <v>893</v>
      </c>
      <c r="M453" s="51" t="str">
        <f t="shared" si="16"/>
        <v>1</v>
      </c>
      <c r="N453" s="51" t="str">
        <f t="shared" si="17"/>
        <v>1</v>
      </c>
      <c r="O453" s="1" t="str">
        <f t="shared" si="3"/>
        <v>11</v>
      </c>
      <c r="P453" s="1" t="str">
        <f t="shared" si="4"/>
        <v>DRAW</v>
      </c>
    </row>
    <row r="454" ht="15.75" customHeight="1">
      <c r="A454" s="52">
        <v>15.0</v>
      </c>
      <c r="B454" s="46" t="s">
        <v>933</v>
      </c>
      <c r="C454" s="10" t="str">
        <f t="shared" si="19"/>
        <v>Sat</v>
      </c>
      <c r="D454" s="19" t="str">
        <f t="shared" si="18"/>
        <v>12/12/2015</v>
      </c>
      <c r="E454" s="59">
        <v>0.625</v>
      </c>
      <c r="F454" s="47" t="s">
        <v>24</v>
      </c>
      <c r="G454" s="48" t="s">
        <v>30</v>
      </c>
      <c r="H454" s="53" t="s">
        <v>934</v>
      </c>
      <c r="I454" s="46" t="s">
        <v>59</v>
      </c>
      <c r="J454" s="50">
        <v>65531.0</v>
      </c>
      <c r="K454" s="54" t="s">
        <v>935</v>
      </c>
      <c r="L454" s="6" t="s">
        <v>893</v>
      </c>
      <c r="M454" s="51" t="str">
        <f t="shared" si="16"/>
        <v>2</v>
      </c>
      <c r="N454" s="51" t="str">
        <f t="shared" si="17"/>
        <v>2</v>
      </c>
      <c r="O454" s="1" t="str">
        <f t="shared" si="3"/>
        <v>22</v>
      </c>
      <c r="P454" s="1" t="str">
        <f t="shared" si="4"/>
        <v>DRAW</v>
      </c>
    </row>
    <row r="455" ht="15.75" customHeight="1">
      <c r="A455" s="52">
        <v>16.0</v>
      </c>
      <c r="B455" s="46" t="s">
        <v>936</v>
      </c>
      <c r="C455" s="10" t="str">
        <f t="shared" si="19"/>
        <v>Wed</v>
      </c>
      <c r="D455" s="19" t="str">
        <f t="shared" si="18"/>
        <v>17/02/2016</v>
      </c>
      <c r="E455" s="59">
        <v>0.7291666666666666</v>
      </c>
      <c r="F455" s="47" t="s">
        <v>19</v>
      </c>
      <c r="G455" s="48" t="s">
        <v>30</v>
      </c>
      <c r="H455" s="53" t="s">
        <v>937</v>
      </c>
      <c r="I455" s="46" t="s">
        <v>59</v>
      </c>
      <c r="J455" s="50">
        <v>28140.0</v>
      </c>
      <c r="K455" s="54" t="s">
        <v>938</v>
      </c>
      <c r="L455" s="6" t="s">
        <v>893</v>
      </c>
      <c r="M455" s="51" t="str">
        <f t="shared" si="16"/>
        <v>1</v>
      </c>
      <c r="N455" s="51" t="str">
        <f t="shared" si="17"/>
        <v>3</v>
      </c>
      <c r="O455" s="1" t="str">
        <f t="shared" si="3"/>
        <v>13</v>
      </c>
      <c r="P455" s="1" t="str">
        <f t="shared" si="4"/>
        <v>WIN</v>
      </c>
    </row>
    <row r="456" ht="15.75" customHeight="1">
      <c r="A456" s="52">
        <v>17.0</v>
      </c>
      <c r="B456" s="46" t="s">
        <v>939</v>
      </c>
      <c r="C456" s="10" t="str">
        <f t="shared" si="19"/>
        <v>Wed</v>
      </c>
      <c r="D456" s="19" t="str">
        <f t="shared" si="18"/>
        <v>30/12/2015</v>
      </c>
      <c r="E456" s="59">
        <v>0.8125</v>
      </c>
      <c r="F456" s="47" t="s">
        <v>24</v>
      </c>
      <c r="G456" s="48" t="s">
        <v>30</v>
      </c>
      <c r="H456" s="53" t="s">
        <v>940</v>
      </c>
      <c r="I456" s="46" t="s">
        <v>59</v>
      </c>
      <c r="J456" s="50">
        <v>81977.0</v>
      </c>
      <c r="K456" s="54" t="s">
        <v>941</v>
      </c>
      <c r="L456" s="6" t="s">
        <v>893</v>
      </c>
      <c r="M456" s="51" t="str">
        <f t="shared" si="16"/>
        <v>4</v>
      </c>
      <c r="N456" s="51" t="str">
        <f t="shared" si="17"/>
        <v>0</v>
      </c>
      <c r="O456" s="1" t="str">
        <f t="shared" si="3"/>
        <v>40</v>
      </c>
      <c r="P456" s="1" t="str">
        <f t="shared" si="4"/>
        <v>WIN</v>
      </c>
    </row>
    <row r="457" ht="15.75" customHeight="1">
      <c r="A457" s="52">
        <v>18.0</v>
      </c>
      <c r="B457" s="46" t="s">
        <v>942</v>
      </c>
      <c r="C457" s="10" t="str">
        <f t="shared" si="19"/>
        <v>Sat</v>
      </c>
      <c r="D457" s="19" t="str">
        <f t="shared" si="18"/>
        <v>02/01/2016</v>
      </c>
      <c r="E457" s="59">
        <v>0.625</v>
      </c>
      <c r="F457" s="47" t="s">
        <v>19</v>
      </c>
      <c r="G457" s="48" t="s">
        <v>30</v>
      </c>
      <c r="H457" s="53" t="s">
        <v>943</v>
      </c>
      <c r="I457" s="46" t="s">
        <v>59</v>
      </c>
      <c r="J457" s="50">
        <v>24203.0</v>
      </c>
      <c r="K457" s="54" t="s">
        <v>944</v>
      </c>
      <c r="L457" s="6" t="s">
        <v>893</v>
      </c>
      <c r="M457" s="51" t="str">
        <f t="shared" si="16"/>
        <v>0</v>
      </c>
      <c r="N457" s="51" t="str">
        <f t="shared" si="17"/>
        <v>0</v>
      </c>
      <c r="O457" s="1" t="str">
        <f t="shared" si="3"/>
        <v>00</v>
      </c>
      <c r="P457" s="1" t="str">
        <f t="shared" si="4"/>
        <v>DRAW</v>
      </c>
    </row>
    <row r="458" ht="15.75" customHeight="1">
      <c r="A458" s="52">
        <v>19.0</v>
      </c>
      <c r="B458" s="46" t="s">
        <v>945</v>
      </c>
      <c r="C458" s="10" t="str">
        <f t="shared" si="19"/>
        <v>Sat</v>
      </c>
      <c r="D458" s="19" t="str">
        <f t="shared" si="18"/>
        <v>09/01/2016</v>
      </c>
      <c r="E458" s="59">
        <v>0.625</v>
      </c>
      <c r="F458" s="47" t="s">
        <v>24</v>
      </c>
      <c r="G458" s="48" t="s">
        <v>30</v>
      </c>
      <c r="H458" s="53" t="s">
        <v>946</v>
      </c>
      <c r="I458" s="46" t="s">
        <v>59</v>
      </c>
      <c r="J458" s="50">
        <v>69091.0</v>
      </c>
      <c r="K458" s="54" t="s">
        <v>947</v>
      </c>
      <c r="L458" s="6" t="s">
        <v>893</v>
      </c>
      <c r="M458" s="51" t="str">
        <f t="shared" si="16"/>
        <v>4</v>
      </c>
      <c r="N458" s="51" t="str">
        <f t="shared" si="17"/>
        <v>0</v>
      </c>
      <c r="O458" s="1" t="str">
        <f t="shared" si="3"/>
        <v>40</v>
      </c>
      <c r="P458" s="1" t="str">
        <f t="shared" si="4"/>
        <v>WIN</v>
      </c>
    </row>
    <row r="459" ht="15.75" customHeight="1">
      <c r="A459" s="52">
        <v>20.0</v>
      </c>
      <c r="B459" s="46" t="s">
        <v>948</v>
      </c>
      <c r="C459" s="10" t="str">
        <f t="shared" si="19"/>
        <v>Sun</v>
      </c>
      <c r="D459" s="19" t="str">
        <f t="shared" si="18"/>
        <v>17/01/2016</v>
      </c>
      <c r="E459" s="59">
        <v>0.8125</v>
      </c>
      <c r="F459" s="47" t="s">
        <v>24</v>
      </c>
      <c r="G459" s="48" t="s">
        <v>30</v>
      </c>
      <c r="H459" s="53" t="s">
        <v>949</v>
      </c>
      <c r="I459" s="46" t="s">
        <v>59</v>
      </c>
      <c r="J459" s="50">
        <v>66234.0</v>
      </c>
      <c r="K459" s="54" t="s">
        <v>950</v>
      </c>
      <c r="L459" s="6" t="s">
        <v>893</v>
      </c>
      <c r="M459" s="51" t="str">
        <f t="shared" si="16"/>
        <v>6</v>
      </c>
      <c r="N459" s="51" t="str">
        <f t="shared" si="17"/>
        <v>0</v>
      </c>
      <c r="O459" s="1" t="str">
        <f t="shared" si="3"/>
        <v>60</v>
      </c>
      <c r="P459" s="1" t="str">
        <f t="shared" si="4"/>
        <v>WIN</v>
      </c>
    </row>
    <row r="460" ht="15.75" customHeight="1">
      <c r="A460" s="52">
        <v>21.0</v>
      </c>
      <c r="B460" s="46" t="s">
        <v>951</v>
      </c>
      <c r="C460" s="10" t="str">
        <f t="shared" si="19"/>
        <v>Sat</v>
      </c>
      <c r="D460" s="19" t="str">
        <f t="shared" si="18"/>
        <v>23/01/2016</v>
      </c>
      <c r="E460" s="59">
        <v>0.625</v>
      </c>
      <c r="F460" s="47" t="s">
        <v>19</v>
      </c>
      <c r="G460" s="48" t="s">
        <v>30</v>
      </c>
      <c r="H460" s="53" t="s">
        <v>952</v>
      </c>
      <c r="I460" s="46" t="s">
        <v>59</v>
      </c>
      <c r="J460" s="50">
        <v>27559.0</v>
      </c>
      <c r="K460" s="54" t="s">
        <v>953</v>
      </c>
      <c r="L460" s="6" t="s">
        <v>893</v>
      </c>
      <c r="M460" s="51" t="str">
        <f t="shared" si="16"/>
        <v>1</v>
      </c>
      <c r="N460" s="51" t="str">
        <f t="shared" si="17"/>
        <v>2</v>
      </c>
      <c r="O460" s="1" t="str">
        <f t="shared" si="3"/>
        <v>12</v>
      </c>
      <c r="P460" s="1" t="str">
        <f t="shared" si="4"/>
        <v>WIN</v>
      </c>
    </row>
    <row r="461" ht="15.75" customHeight="1">
      <c r="A461" s="52">
        <v>22.0</v>
      </c>
      <c r="B461" s="46" t="s">
        <v>954</v>
      </c>
      <c r="C461" s="10" t="str">
        <f t="shared" si="19"/>
        <v>Sat</v>
      </c>
      <c r="D461" s="19" t="str">
        <f t="shared" si="18"/>
        <v>30/01/2016</v>
      </c>
      <c r="E461" s="59">
        <v>0.625</v>
      </c>
      <c r="F461" s="47" t="s">
        <v>24</v>
      </c>
      <c r="G461" s="48" t="s">
        <v>30</v>
      </c>
      <c r="H461" s="53" t="s">
        <v>955</v>
      </c>
      <c r="I461" s="46" t="s">
        <v>59</v>
      </c>
      <c r="J461" s="50">
        <v>93011.0</v>
      </c>
      <c r="K461" s="54" t="s">
        <v>956</v>
      </c>
      <c r="L461" s="6" t="s">
        <v>893</v>
      </c>
      <c r="M461" s="51" t="str">
        <f t="shared" si="16"/>
        <v>2</v>
      </c>
      <c r="N461" s="51" t="str">
        <f t="shared" si="17"/>
        <v>1</v>
      </c>
      <c r="O461" s="1" t="str">
        <f t="shared" si="3"/>
        <v>21</v>
      </c>
      <c r="P461" s="1" t="str">
        <f t="shared" si="4"/>
        <v>WIN</v>
      </c>
    </row>
    <row r="462" ht="15.75" customHeight="1">
      <c r="A462" s="52">
        <v>23.0</v>
      </c>
      <c r="B462" s="46" t="s">
        <v>957</v>
      </c>
      <c r="C462" s="10" t="str">
        <f t="shared" si="19"/>
        <v>Sun</v>
      </c>
      <c r="D462" s="19" t="str">
        <f t="shared" si="18"/>
        <v>07/02/2016</v>
      </c>
      <c r="E462" s="59">
        <v>0.4583333333333333</v>
      </c>
      <c r="F462" s="47" t="s">
        <v>19</v>
      </c>
      <c r="G462" s="48" t="s">
        <v>30</v>
      </c>
      <c r="H462" s="53" t="s">
        <v>958</v>
      </c>
      <c r="I462" s="46" t="s">
        <v>59</v>
      </c>
      <c r="J462" s="50">
        <v>22638.0</v>
      </c>
      <c r="K462" s="54" t="s">
        <v>959</v>
      </c>
      <c r="L462" s="6" t="s">
        <v>893</v>
      </c>
      <c r="M462" s="51" t="str">
        <f t="shared" si="16"/>
        <v>0</v>
      </c>
      <c r="N462" s="51" t="str">
        <f t="shared" si="17"/>
        <v>2</v>
      </c>
      <c r="O462" s="1" t="str">
        <f t="shared" si="3"/>
        <v>02</v>
      </c>
      <c r="P462" s="1" t="str">
        <f t="shared" si="4"/>
        <v>WIN</v>
      </c>
    </row>
    <row r="463" ht="15.75" customHeight="1">
      <c r="A463" s="52">
        <v>24.0</v>
      </c>
      <c r="B463" s="46" t="s">
        <v>960</v>
      </c>
      <c r="C463" s="10" t="str">
        <f t="shared" si="19"/>
        <v>Sun</v>
      </c>
      <c r="D463" s="19" t="str">
        <f t="shared" si="18"/>
        <v>14/02/2016</v>
      </c>
      <c r="E463" s="59">
        <v>0.8125</v>
      </c>
      <c r="F463" s="47" t="s">
        <v>24</v>
      </c>
      <c r="G463" s="48" t="s">
        <v>30</v>
      </c>
      <c r="H463" s="53" t="s">
        <v>961</v>
      </c>
      <c r="I463" s="46" t="s">
        <v>59</v>
      </c>
      <c r="J463" s="50">
        <v>72580.0</v>
      </c>
      <c r="K463" s="54" t="s">
        <v>962</v>
      </c>
      <c r="L463" s="6" t="s">
        <v>893</v>
      </c>
      <c r="M463" s="51" t="str">
        <f t="shared" si="16"/>
        <v>6</v>
      </c>
      <c r="N463" s="51" t="str">
        <f t="shared" si="17"/>
        <v>1</v>
      </c>
      <c r="O463" s="1" t="str">
        <f t="shared" si="3"/>
        <v>61</v>
      </c>
      <c r="P463" s="1" t="str">
        <f t="shared" si="4"/>
        <v>WIN</v>
      </c>
    </row>
    <row r="464" ht="15.75" customHeight="1">
      <c r="A464" s="52">
        <v>25.0</v>
      </c>
      <c r="B464" s="46" t="s">
        <v>963</v>
      </c>
      <c r="C464" s="10" t="str">
        <f t="shared" si="19"/>
        <v>Sat</v>
      </c>
      <c r="D464" s="19" t="str">
        <f t="shared" si="18"/>
        <v>20/02/2016</v>
      </c>
      <c r="E464" s="59">
        <v>0.625</v>
      </c>
      <c r="F464" s="47" t="s">
        <v>19</v>
      </c>
      <c r="G464" s="48" t="s">
        <v>30</v>
      </c>
      <c r="H464" s="53" t="s">
        <v>964</v>
      </c>
      <c r="I464" s="46" t="s">
        <v>59</v>
      </c>
      <c r="J464" s="50">
        <v>26951.0</v>
      </c>
      <c r="K464" s="54" t="s">
        <v>965</v>
      </c>
      <c r="L464" s="6" t="s">
        <v>893</v>
      </c>
      <c r="M464" s="51" t="str">
        <f t="shared" si="16"/>
        <v>1</v>
      </c>
      <c r="N464" s="51" t="str">
        <f t="shared" si="17"/>
        <v>2</v>
      </c>
      <c r="O464" s="1" t="str">
        <f t="shared" si="3"/>
        <v>12</v>
      </c>
      <c r="P464" s="1" t="str">
        <f t="shared" si="4"/>
        <v>WIN</v>
      </c>
    </row>
    <row r="465" ht="15.75" customHeight="1">
      <c r="A465" s="52">
        <v>26.0</v>
      </c>
      <c r="B465" s="46" t="s">
        <v>966</v>
      </c>
      <c r="C465" s="10" t="str">
        <f t="shared" si="19"/>
        <v>Sun</v>
      </c>
      <c r="D465" s="19" t="str">
        <f t="shared" si="18"/>
        <v>28/02/2016</v>
      </c>
      <c r="E465" s="59">
        <v>0.8125</v>
      </c>
      <c r="F465" s="47" t="s">
        <v>24</v>
      </c>
      <c r="G465" s="48" t="s">
        <v>30</v>
      </c>
      <c r="H465" s="53" t="s">
        <v>967</v>
      </c>
      <c r="I465" s="46" t="s">
        <v>59</v>
      </c>
      <c r="J465" s="50">
        <v>77837.0</v>
      </c>
      <c r="K465" s="54" t="s">
        <v>968</v>
      </c>
      <c r="L465" s="6" t="s">
        <v>893</v>
      </c>
      <c r="M465" s="51" t="str">
        <f t="shared" si="16"/>
        <v>2</v>
      </c>
      <c r="N465" s="51" t="str">
        <f t="shared" si="17"/>
        <v>1</v>
      </c>
      <c r="O465" s="1" t="str">
        <f t="shared" si="3"/>
        <v>21</v>
      </c>
      <c r="P465" s="1" t="str">
        <f t="shared" si="4"/>
        <v>WIN</v>
      </c>
    </row>
    <row r="466" ht="15.75" customHeight="1">
      <c r="A466" s="52">
        <v>27.0</v>
      </c>
      <c r="B466" s="46" t="s">
        <v>969</v>
      </c>
      <c r="C466" s="10" t="str">
        <f t="shared" si="19"/>
        <v>Thu</v>
      </c>
      <c r="D466" s="19" t="str">
        <f t="shared" si="18"/>
        <v>03/03/2016</v>
      </c>
      <c r="E466" s="59">
        <v>0.8333333333333334</v>
      </c>
      <c r="F466" s="47" t="s">
        <v>19</v>
      </c>
      <c r="G466" s="48" t="s">
        <v>30</v>
      </c>
      <c r="H466" s="53" t="s">
        <v>970</v>
      </c>
      <c r="I466" s="46" t="s">
        <v>59</v>
      </c>
      <c r="J466" s="56">
        <v>13775.0</v>
      </c>
      <c r="K466" s="54" t="s">
        <v>971</v>
      </c>
      <c r="L466" s="6" t="s">
        <v>893</v>
      </c>
      <c r="M466" s="51" t="str">
        <f t="shared" si="16"/>
        <v>1</v>
      </c>
      <c r="N466" s="51" t="str">
        <f t="shared" si="17"/>
        <v>5</v>
      </c>
      <c r="O466" s="1" t="str">
        <f t="shared" si="3"/>
        <v>15</v>
      </c>
      <c r="P466" s="1" t="str">
        <f t="shared" si="4"/>
        <v>WIN</v>
      </c>
    </row>
    <row r="467" ht="15.75" customHeight="1">
      <c r="A467" s="52">
        <v>28.0</v>
      </c>
      <c r="B467" s="46" t="s">
        <v>972</v>
      </c>
      <c r="C467" s="10" t="str">
        <f t="shared" si="19"/>
        <v>Sun</v>
      </c>
      <c r="D467" s="19" t="str">
        <f t="shared" si="18"/>
        <v>06/03/2016</v>
      </c>
      <c r="E467" s="59">
        <v>0.625</v>
      </c>
      <c r="F467" s="47" t="s">
        <v>19</v>
      </c>
      <c r="G467" s="48" t="s">
        <v>30</v>
      </c>
      <c r="H467" s="53" t="s">
        <v>973</v>
      </c>
      <c r="I467" s="46" t="s">
        <v>59</v>
      </c>
      <c r="J467" s="50">
        <v>5941.0</v>
      </c>
      <c r="K467" s="54" t="s">
        <v>974</v>
      </c>
      <c r="L467" s="6" t="s">
        <v>893</v>
      </c>
      <c r="M467" s="51" t="str">
        <f t="shared" si="16"/>
        <v>0</v>
      </c>
      <c r="N467" s="51" t="str">
        <f t="shared" si="17"/>
        <v>4</v>
      </c>
      <c r="O467" s="1" t="str">
        <f t="shared" si="3"/>
        <v>04</v>
      </c>
      <c r="P467" s="1" t="str">
        <f t="shared" si="4"/>
        <v>WIN</v>
      </c>
    </row>
    <row r="468" ht="15.75" customHeight="1">
      <c r="A468" s="52">
        <v>29.0</v>
      </c>
      <c r="B468" s="46" t="s">
        <v>975</v>
      </c>
      <c r="C468" s="10" t="str">
        <f t="shared" si="19"/>
        <v>Sat</v>
      </c>
      <c r="D468" s="19" t="str">
        <f t="shared" si="18"/>
        <v>12/03/2016</v>
      </c>
      <c r="E468" s="59">
        <v>0.625</v>
      </c>
      <c r="F468" s="47" t="s">
        <v>24</v>
      </c>
      <c r="G468" s="48" t="s">
        <v>30</v>
      </c>
      <c r="H468" s="53" t="s">
        <v>976</v>
      </c>
      <c r="I468" s="46" t="s">
        <v>59</v>
      </c>
      <c r="J468" s="50">
        <v>85862.0</v>
      </c>
      <c r="K468" s="54" t="s">
        <v>977</v>
      </c>
      <c r="L468" s="6" t="s">
        <v>893</v>
      </c>
      <c r="M468" s="51" t="str">
        <f t="shared" si="16"/>
        <v>6</v>
      </c>
      <c r="N468" s="51" t="str">
        <f t="shared" si="17"/>
        <v>0</v>
      </c>
      <c r="O468" s="1" t="str">
        <f t="shared" si="3"/>
        <v>60</v>
      </c>
      <c r="P468" s="1" t="str">
        <f t="shared" si="4"/>
        <v>WIN</v>
      </c>
    </row>
    <row r="469" ht="15.75" customHeight="1">
      <c r="A469" s="52">
        <v>30.0</v>
      </c>
      <c r="B469" s="46" t="s">
        <v>978</v>
      </c>
      <c r="C469" s="10" t="str">
        <f t="shared" si="19"/>
        <v>Sun</v>
      </c>
      <c r="D469" s="19" t="str">
        <f t="shared" si="18"/>
        <v>20/03/2016</v>
      </c>
      <c r="E469" s="59">
        <v>0.625</v>
      </c>
      <c r="F469" s="47" t="s">
        <v>19</v>
      </c>
      <c r="G469" s="48" t="s">
        <v>30</v>
      </c>
      <c r="H469" s="53" t="s">
        <v>979</v>
      </c>
      <c r="I469" s="46" t="s">
        <v>59</v>
      </c>
      <c r="J469" s="50">
        <v>24398.0</v>
      </c>
      <c r="K469" s="54" t="s">
        <v>980</v>
      </c>
      <c r="L469" s="6" t="s">
        <v>893</v>
      </c>
      <c r="M469" s="51" t="str">
        <f t="shared" si="16"/>
        <v>2</v>
      </c>
      <c r="N469" s="51" t="str">
        <f t="shared" si="17"/>
        <v>2</v>
      </c>
      <c r="O469" s="1" t="str">
        <f t="shared" si="3"/>
        <v>22</v>
      </c>
      <c r="P469" s="1" t="str">
        <f t="shared" si="4"/>
        <v>DRAW</v>
      </c>
    </row>
    <row r="470" ht="15.75" customHeight="1">
      <c r="A470" s="52">
        <v>31.0</v>
      </c>
      <c r="B470" s="46" t="s">
        <v>981</v>
      </c>
      <c r="C470" s="10" t="str">
        <f t="shared" si="19"/>
        <v>Sat</v>
      </c>
      <c r="D470" s="19" t="str">
        <f t="shared" si="18"/>
        <v>02/04/2016</v>
      </c>
      <c r="E470" s="59">
        <v>0.8125</v>
      </c>
      <c r="F470" s="47" t="s">
        <v>24</v>
      </c>
      <c r="G470" s="48" t="s">
        <v>30</v>
      </c>
      <c r="H470" s="53" t="s">
        <v>982</v>
      </c>
      <c r="I470" s="46" t="s">
        <v>59</v>
      </c>
      <c r="J470" s="50">
        <v>98902.0</v>
      </c>
      <c r="K470" s="54" t="s">
        <v>983</v>
      </c>
      <c r="L470" s="6" t="s">
        <v>893</v>
      </c>
      <c r="M470" s="51" t="str">
        <f t="shared" si="16"/>
        <v>1</v>
      </c>
      <c r="N470" s="51" t="str">
        <f t="shared" si="17"/>
        <v>2</v>
      </c>
      <c r="O470" s="1" t="str">
        <f t="shared" si="3"/>
        <v>12</v>
      </c>
      <c r="P470" s="1" t="str">
        <f t="shared" si="4"/>
        <v>LOSS</v>
      </c>
    </row>
    <row r="471" ht="15.75" customHeight="1">
      <c r="A471" s="52">
        <v>32.0</v>
      </c>
      <c r="B471" s="46" t="s">
        <v>984</v>
      </c>
      <c r="C471" s="10" t="str">
        <f t="shared" si="19"/>
        <v>Sat</v>
      </c>
      <c r="D471" s="19" t="str">
        <f t="shared" si="18"/>
        <v>09/04/2016</v>
      </c>
      <c r="E471" s="59">
        <v>0.8125</v>
      </c>
      <c r="F471" s="47" t="s">
        <v>19</v>
      </c>
      <c r="G471" s="48" t="s">
        <v>30</v>
      </c>
      <c r="H471" s="53" t="s">
        <v>985</v>
      </c>
      <c r="I471" s="46" t="s">
        <v>59</v>
      </c>
      <c r="J471" s="50">
        <v>27895.0</v>
      </c>
      <c r="K471" s="54" t="s">
        <v>986</v>
      </c>
      <c r="L471" s="6" t="s">
        <v>893</v>
      </c>
      <c r="M471" s="51" t="str">
        <f t="shared" si="16"/>
        <v>1</v>
      </c>
      <c r="N471" s="51" t="str">
        <f t="shared" si="17"/>
        <v>0</v>
      </c>
      <c r="O471" s="1" t="str">
        <f t="shared" si="3"/>
        <v>10</v>
      </c>
      <c r="P471" s="1" t="str">
        <f t="shared" si="4"/>
        <v>LOSS</v>
      </c>
    </row>
    <row r="472" ht="15.75" customHeight="1">
      <c r="A472" s="52">
        <v>33.0</v>
      </c>
      <c r="B472" s="46" t="s">
        <v>987</v>
      </c>
      <c r="C472" s="10" t="str">
        <f t="shared" si="19"/>
        <v>Sun</v>
      </c>
      <c r="D472" s="19" t="str">
        <f t="shared" si="18"/>
        <v>17/04/2016</v>
      </c>
      <c r="E472" s="59">
        <v>0.8125</v>
      </c>
      <c r="F472" s="47" t="s">
        <v>24</v>
      </c>
      <c r="G472" s="48" t="s">
        <v>30</v>
      </c>
      <c r="H472" s="53" t="s">
        <v>988</v>
      </c>
      <c r="I472" s="46" t="s">
        <v>59</v>
      </c>
      <c r="J472" s="50">
        <v>86903.0</v>
      </c>
      <c r="K472" s="54" t="s">
        <v>989</v>
      </c>
      <c r="L472" s="6" t="s">
        <v>893</v>
      </c>
      <c r="M472" s="51" t="str">
        <f t="shared" si="16"/>
        <v>1</v>
      </c>
      <c r="N472" s="51" t="str">
        <f t="shared" si="17"/>
        <v>2</v>
      </c>
      <c r="O472" s="1" t="str">
        <f t="shared" si="3"/>
        <v>12</v>
      </c>
      <c r="P472" s="1" t="str">
        <f t="shared" si="4"/>
        <v>LOSS</v>
      </c>
    </row>
    <row r="473" ht="15.75" customHeight="1">
      <c r="A473" s="52">
        <v>34.0</v>
      </c>
      <c r="B473" s="46" t="s">
        <v>990</v>
      </c>
      <c r="C473" s="10" t="str">
        <f t="shared" si="19"/>
        <v>Wed</v>
      </c>
      <c r="D473" s="19" t="str">
        <f t="shared" si="18"/>
        <v>20/04/2016</v>
      </c>
      <c r="E473" s="59">
        <v>0.7916666666666666</v>
      </c>
      <c r="F473" s="47" t="s">
        <v>19</v>
      </c>
      <c r="G473" s="48" t="s">
        <v>30</v>
      </c>
      <c r="H473" s="53" t="s">
        <v>991</v>
      </c>
      <c r="I473" s="46" t="s">
        <v>59</v>
      </c>
      <c r="J473" s="50">
        <v>28956.0</v>
      </c>
      <c r="K473" s="54" t="s">
        <v>992</v>
      </c>
      <c r="L473" s="6" t="s">
        <v>893</v>
      </c>
      <c r="M473" s="51" t="str">
        <f t="shared" si="16"/>
        <v>0</v>
      </c>
      <c r="N473" s="51" t="str">
        <f t="shared" si="17"/>
        <v>8</v>
      </c>
      <c r="O473" s="1" t="str">
        <f t="shared" si="3"/>
        <v>08</v>
      </c>
      <c r="P473" s="1" t="str">
        <f t="shared" si="4"/>
        <v>WIN</v>
      </c>
    </row>
    <row r="474" ht="15.75" customHeight="1">
      <c r="A474" s="52">
        <v>35.0</v>
      </c>
      <c r="B474" s="46" t="s">
        <v>993</v>
      </c>
      <c r="C474" s="10" t="str">
        <f t="shared" si="19"/>
        <v>Sat</v>
      </c>
      <c r="D474" s="19" t="str">
        <f t="shared" si="18"/>
        <v>23/04/2016</v>
      </c>
      <c r="E474" s="59">
        <v>0.8125</v>
      </c>
      <c r="F474" s="47" t="s">
        <v>24</v>
      </c>
      <c r="G474" s="48" t="s">
        <v>30</v>
      </c>
      <c r="H474" s="53" t="s">
        <v>994</v>
      </c>
      <c r="I474" s="46" t="s">
        <v>59</v>
      </c>
      <c r="J474" s="50">
        <v>75882.0</v>
      </c>
      <c r="K474" s="54" t="s">
        <v>995</v>
      </c>
      <c r="L474" s="6" t="s">
        <v>893</v>
      </c>
      <c r="M474" s="51" t="str">
        <f t="shared" si="16"/>
        <v>6</v>
      </c>
      <c r="N474" s="51" t="str">
        <f t="shared" si="17"/>
        <v>0</v>
      </c>
      <c r="O474" s="1" t="str">
        <f t="shared" si="3"/>
        <v>60</v>
      </c>
      <c r="P474" s="1" t="str">
        <f t="shared" si="4"/>
        <v>WIN</v>
      </c>
    </row>
    <row r="475" ht="15.75" customHeight="1">
      <c r="A475" s="52">
        <v>36.0</v>
      </c>
      <c r="B475" s="46" t="s">
        <v>996</v>
      </c>
      <c r="C475" s="10" t="str">
        <f t="shared" si="19"/>
        <v>Sat</v>
      </c>
      <c r="D475" s="19" t="str">
        <f t="shared" si="18"/>
        <v>30/04/2016</v>
      </c>
      <c r="E475" s="59">
        <v>0.8125</v>
      </c>
      <c r="F475" s="47" t="s">
        <v>19</v>
      </c>
      <c r="G475" s="48" t="s">
        <v>30</v>
      </c>
      <c r="H475" s="53" t="s">
        <v>997</v>
      </c>
      <c r="I475" s="46" t="s">
        <v>59</v>
      </c>
      <c r="J475" s="50">
        <v>44015.0</v>
      </c>
      <c r="K475" s="54" t="s">
        <v>998</v>
      </c>
      <c r="L475" s="6" t="s">
        <v>893</v>
      </c>
      <c r="M475" s="51" t="str">
        <f t="shared" si="16"/>
        <v>0</v>
      </c>
      <c r="N475" s="51" t="str">
        <f t="shared" si="17"/>
        <v>2</v>
      </c>
      <c r="O475" s="1" t="str">
        <f t="shared" si="3"/>
        <v>02</v>
      </c>
      <c r="P475" s="1" t="str">
        <f t="shared" si="4"/>
        <v>WIN</v>
      </c>
    </row>
    <row r="476" ht="15.75" customHeight="1">
      <c r="A476" s="52">
        <v>37.0</v>
      </c>
      <c r="B476" s="46" t="s">
        <v>999</v>
      </c>
      <c r="C476" s="10" t="str">
        <f t="shared" si="19"/>
        <v>Sun</v>
      </c>
      <c r="D476" s="19" t="str">
        <f t="shared" si="18"/>
        <v>08/05/2016</v>
      </c>
      <c r="E476" s="59">
        <v>0.6666666666666666</v>
      </c>
      <c r="F476" s="47" t="s">
        <v>24</v>
      </c>
      <c r="G476" s="48" t="s">
        <v>30</v>
      </c>
      <c r="H476" s="53" t="s">
        <v>1000</v>
      </c>
      <c r="I476" s="46" t="s">
        <v>59</v>
      </c>
      <c r="J476" s="50">
        <v>89453.0</v>
      </c>
      <c r="K476" s="54" t="s">
        <v>1001</v>
      </c>
      <c r="L476" s="6" t="s">
        <v>893</v>
      </c>
      <c r="M476" s="51" t="str">
        <f t="shared" si="16"/>
        <v>5</v>
      </c>
      <c r="N476" s="51" t="str">
        <f t="shared" si="17"/>
        <v>0</v>
      </c>
      <c r="O476" s="1" t="str">
        <f t="shared" si="3"/>
        <v>50</v>
      </c>
      <c r="P476" s="1" t="str">
        <f t="shared" si="4"/>
        <v>WIN</v>
      </c>
    </row>
    <row r="477" ht="15.75" customHeight="1">
      <c r="A477" s="52">
        <v>38.0</v>
      </c>
      <c r="B477" s="46" t="s">
        <v>1002</v>
      </c>
      <c r="C477" s="10" t="str">
        <f t="shared" si="19"/>
        <v>Sat</v>
      </c>
      <c r="D477" s="19" t="str">
        <f t="shared" si="18"/>
        <v>14/05/2016</v>
      </c>
      <c r="E477" s="59">
        <v>0.6666666666666666</v>
      </c>
      <c r="F477" s="47" t="s">
        <v>19</v>
      </c>
      <c r="G477" s="48" t="s">
        <v>30</v>
      </c>
      <c r="H477" s="53" t="s">
        <v>1003</v>
      </c>
      <c r="I477" s="46" t="s">
        <v>59</v>
      </c>
      <c r="J477" s="50">
        <v>21692.0</v>
      </c>
      <c r="K477" s="60" t="s">
        <v>1004</v>
      </c>
      <c r="L477" s="6" t="s">
        <v>893</v>
      </c>
      <c r="M477" s="51" t="str">
        <f t="shared" si="16"/>
        <v>0</v>
      </c>
      <c r="N477" s="51" t="str">
        <f t="shared" si="17"/>
        <v>3</v>
      </c>
      <c r="O477" s="1" t="str">
        <f t="shared" si="3"/>
        <v>03</v>
      </c>
      <c r="P477" s="1" t="str">
        <f t="shared" si="4"/>
        <v>WIN</v>
      </c>
    </row>
    <row r="478" ht="15.75" customHeight="1">
      <c r="A478" s="58" t="s">
        <v>416</v>
      </c>
      <c r="B478" s="46" t="s">
        <v>1005</v>
      </c>
      <c r="C478" s="10" t="str">
        <f t="shared" si="19"/>
        <v>Wed</v>
      </c>
      <c r="D478" s="19" t="str">
        <f t="shared" si="18"/>
        <v>16/09/2015</v>
      </c>
      <c r="E478" s="59">
        <v>0.8229166666666666</v>
      </c>
      <c r="F478" s="47" t="s">
        <v>19</v>
      </c>
      <c r="H478" s="53" t="s">
        <v>1006</v>
      </c>
      <c r="I478" s="46" t="s">
        <v>59</v>
      </c>
      <c r="J478" s="50">
        <v>57836.0</v>
      </c>
      <c r="K478" s="54" t="s">
        <v>1007</v>
      </c>
      <c r="L478" s="6" t="s">
        <v>893</v>
      </c>
      <c r="M478" s="51" t="str">
        <f t="shared" si="16"/>
        <v>1</v>
      </c>
      <c r="N478" s="51" t="str">
        <f t="shared" si="17"/>
        <v>1</v>
      </c>
      <c r="O478" s="1" t="str">
        <f t="shared" si="3"/>
        <v>11</v>
      </c>
      <c r="P478" s="1" t="str">
        <f t="shared" si="4"/>
        <v>DRAW</v>
      </c>
    </row>
    <row r="479" ht="15.75" customHeight="1">
      <c r="A479" s="58" t="s">
        <v>416</v>
      </c>
      <c r="B479" s="46" t="s">
        <v>1008</v>
      </c>
      <c r="C479" s="10" t="str">
        <f t="shared" si="19"/>
        <v>Tue</v>
      </c>
      <c r="D479" s="19" t="str">
        <f t="shared" si="18"/>
        <v>29/09/2015</v>
      </c>
      <c r="E479" s="59">
        <v>0.8229166666666666</v>
      </c>
      <c r="F479" s="47" t="s">
        <v>24</v>
      </c>
      <c r="H479" s="53" t="s">
        <v>1009</v>
      </c>
      <c r="I479" s="46" t="s">
        <v>59</v>
      </c>
      <c r="J479" s="50">
        <v>68694.0</v>
      </c>
      <c r="K479" s="54" t="s">
        <v>1010</v>
      </c>
      <c r="L479" s="6" t="s">
        <v>893</v>
      </c>
      <c r="M479" s="51" t="str">
        <f t="shared" si="16"/>
        <v>2</v>
      </c>
      <c r="N479" s="51" t="str">
        <f t="shared" si="17"/>
        <v>1</v>
      </c>
      <c r="O479" s="1" t="str">
        <f t="shared" si="3"/>
        <v>21</v>
      </c>
      <c r="P479" s="1" t="str">
        <f t="shared" si="4"/>
        <v>WIN</v>
      </c>
    </row>
    <row r="480" ht="15.75" customHeight="1">
      <c r="A480" s="58" t="s">
        <v>416</v>
      </c>
      <c r="B480" s="46" t="s">
        <v>1011</v>
      </c>
      <c r="C480" s="10" t="str">
        <f t="shared" si="19"/>
        <v>Tue</v>
      </c>
      <c r="D480" s="19" t="str">
        <f t="shared" si="18"/>
        <v>20/10/2015</v>
      </c>
      <c r="E480" s="59">
        <v>0.8229166666666666</v>
      </c>
      <c r="F480" s="47" t="s">
        <v>19</v>
      </c>
      <c r="H480" s="53" t="s">
        <v>1012</v>
      </c>
      <c r="I480" s="46" t="s">
        <v>59</v>
      </c>
      <c r="J480" s="56">
        <v>13074.0</v>
      </c>
      <c r="K480" s="54" t="s">
        <v>1013</v>
      </c>
      <c r="L480" s="6" t="s">
        <v>893</v>
      </c>
      <c r="M480" s="51" t="str">
        <f t="shared" si="16"/>
        <v>0</v>
      </c>
      <c r="N480" s="51" t="str">
        <f t="shared" si="17"/>
        <v>2</v>
      </c>
      <c r="O480" s="1" t="str">
        <f t="shared" si="3"/>
        <v>02</v>
      </c>
      <c r="P480" s="1" t="str">
        <f t="shared" si="4"/>
        <v>WIN</v>
      </c>
    </row>
    <row r="481" ht="15.75" customHeight="1">
      <c r="A481" s="58" t="s">
        <v>416</v>
      </c>
      <c r="B481" s="46" t="s">
        <v>1014</v>
      </c>
      <c r="C481" s="10" t="str">
        <f t="shared" si="19"/>
        <v>Wed</v>
      </c>
      <c r="D481" s="19" t="str">
        <f t="shared" si="18"/>
        <v>04/11/2015</v>
      </c>
      <c r="E481" s="59">
        <v>0.8229166666666666</v>
      </c>
      <c r="F481" s="47" t="s">
        <v>24</v>
      </c>
      <c r="H481" s="53" t="s">
        <v>1015</v>
      </c>
      <c r="I481" s="46" t="s">
        <v>59</v>
      </c>
      <c r="J481" s="50">
        <v>68502.0</v>
      </c>
      <c r="K481" s="54" t="s">
        <v>1016</v>
      </c>
      <c r="L481" s="6" t="s">
        <v>893</v>
      </c>
      <c r="M481" s="51" t="str">
        <f t="shared" si="16"/>
        <v>3</v>
      </c>
      <c r="N481" s="51" t="str">
        <f t="shared" si="17"/>
        <v>0</v>
      </c>
      <c r="O481" s="1" t="str">
        <f t="shared" si="3"/>
        <v>30</v>
      </c>
      <c r="P481" s="1" t="str">
        <f t="shared" si="4"/>
        <v>WIN</v>
      </c>
    </row>
    <row r="482" ht="15.75" customHeight="1">
      <c r="A482" s="58" t="s">
        <v>416</v>
      </c>
      <c r="B482" s="46" t="s">
        <v>1017</v>
      </c>
      <c r="C482" s="10" t="str">
        <f t="shared" si="19"/>
        <v>Tue</v>
      </c>
      <c r="D482" s="19" t="str">
        <f t="shared" si="18"/>
        <v>24/11/2015</v>
      </c>
      <c r="E482" s="59">
        <v>0.8229166666666666</v>
      </c>
      <c r="F482" s="47" t="s">
        <v>24</v>
      </c>
      <c r="H482" s="53" t="s">
        <v>1018</v>
      </c>
      <c r="I482" s="46" t="s">
        <v>59</v>
      </c>
      <c r="J482" s="50">
        <v>71433.0</v>
      </c>
      <c r="K482" s="54" t="s">
        <v>1019</v>
      </c>
      <c r="L482" s="6" t="s">
        <v>893</v>
      </c>
      <c r="M482" s="51" t="str">
        <f t="shared" si="16"/>
        <v>6</v>
      </c>
      <c r="N482" s="51" t="str">
        <f t="shared" si="17"/>
        <v>1</v>
      </c>
      <c r="O482" s="1" t="str">
        <f t="shared" si="3"/>
        <v>61</v>
      </c>
      <c r="P482" s="1" t="str">
        <f t="shared" si="4"/>
        <v>WIN</v>
      </c>
    </row>
    <row r="483" ht="15.75" customHeight="1">
      <c r="A483" s="58" t="s">
        <v>416</v>
      </c>
      <c r="B483" s="46" t="s">
        <v>1020</v>
      </c>
      <c r="C483" s="10" t="str">
        <f t="shared" si="19"/>
        <v>Wed</v>
      </c>
      <c r="D483" s="19" t="str">
        <f t="shared" si="18"/>
        <v>09/12/2015</v>
      </c>
      <c r="E483" s="59">
        <v>0.8229166666666666</v>
      </c>
      <c r="F483" s="47" t="s">
        <v>19</v>
      </c>
      <c r="H483" s="53" t="s">
        <v>1021</v>
      </c>
      <c r="I483" s="46" t="s">
        <v>59</v>
      </c>
      <c r="J483" s="56">
        <v>30210.0</v>
      </c>
      <c r="K483" s="54" t="s">
        <v>1022</v>
      </c>
      <c r="L483" s="6" t="s">
        <v>893</v>
      </c>
      <c r="M483" s="51" t="str">
        <f t="shared" si="16"/>
        <v>1</v>
      </c>
      <c r="N483" s="51" t="str">
        <f t="shared" si="17"/>
        <v>1</v>
      </c>
      <c r="O483" s="1" t="str">
        <f t="shared" si="3"/>
        <v>11</v>
      </c>
      <c r="P483" s="1" t="str">
        <f t="shared" si="4"/>
        <v>DRAW</v>
      </c>
    </row>
    <row r="484" ht="15.75" customHeight="1">
      <c r="A484" s="58" t="s">
        <v>143</v>
      </c>
      <c r="B484" s="46" t="s">
        <v>1023</v>
      </c>
      <c r="C484" s="10" t="str">
        <f t="shared" si="19"/>
        <v>Tue</v>
      </c>
      <c r="D484" s="19" t="str">
        <f t="shared" si="18"/>
        <v>23/02/2016</v>
      </c>
      <c r="E484" s="59">
        <v>0.8229166666666666</v>
      </c>
      <c r="F484" s="47" t="s">
        <v>19</v>
      </c>
      <c r="H484" s="53" t="s">
        <v>1024</v>
      </c>
      <c r="I484" s="46" t="s">
        <v>59</v>
      </c>
      <c r="J484" s="56">
        <v>60260.0</v>
      </c>
      <c r="K484" s="54" t="s">
        <v>1025</v>
      </c>
      <c r="L484" s="6" t="s">
        <v>893</v>
      </c>
      <c r="M484" s="51" t="str">
        <f t="shared" si="16"/>
        <v>0</v>
      </c>
      <c r="N484" s="51" t="str">
        <f t="shared" si="17"/>
        <v>2</v>
      </c>
      <c r="O484" s="1" t="str">
        <f t="shared" si="3"/>
        <v>02</v>
      </c>
      <c r="P484" s="1" t="str">
        <f t="shared" si="4"/>
        <v>WIN</v>
      </c>
    </row>
    <row r="485" ht="15.75" customHeight="1">
      <c r="A485" s="58" t="s">
        <v>145</v>
      </c>
      <c r="B485" s="46" t="s">
        <v>1026</v>
      </c>
      <c r="C485" s="10" t="str">
        <f t="shared" si="19"/>
        <v>Wed</v>
      </c>
      <c r="D485" s="19" t="str">
        <f t="shared" si="18"/>
        <v>16/03/2016</v>
      </c>
      <c r="E485" s="59">
        <v>0.8229166666666666</v>
      </c>
      <c r="F485" s="47" t="s">
        <v>24</v>
      </c>
      <c r="H485" s="53" t="s">
        <v>1027</v>
      </c>
      <c r="I485" s="46" t="s">
        <v>59</v>
      </c>
      <c r="J485" s="50">
        <v>76092.0</v>
      </c>
      <c r="K485" s="54" t="s">
        <v>1028</v>
      </c>
      <c r="L485" s="6" t="s">
        <v>893</v>
      </c>
      <c r="M485" s="51" t="str">
        <f t="shared" si="16"/>
        <v>3</v>
      </c>
      <c r="N485" s="51" t="str">
        <f t="shared" si="17"/>
        <v>1</v>
      </c>
      <c r="O485" s="1" t="str">
        <f t="shared" si="3"/>
        <v>31</v>
      </c>
      <c r="P485" s="1" t="str">
        <f t="shared" si="4"/>
        <v>WIN</v>
      </c>
    </row>
    <row r="486" ht="15.75" customHeight="1">
      <c r="A486" s="58" t="s">
        <v>147</v>
      </c>
      <c r="B486" s="46" t="s">
        <v>1029</v>
      </c>
      <c r="C486" s="10" t="str">
        <f t="shared" si="19"/>
        <v>Tue</v>
      </c>
      <c r="D486" s="19" t="str">
        <f t="shared" si="18"/>
        <v>05/04/2016</v>
      </c>
      <c r="E486" s="59">
        <v>0.8229166666666666</v>
      </c>
      <c r="F486" s="47" t="s">
        <v>24</v>
      </c>
      <c r="H486" s="53" t="s">
        <v>1030</v>
      </c>
      <c r="I486" s="46" t="s">
        <v>59</v>
      </c>
      <c r="J486" s="50">
        <v>88534.0</v>
      </c>
      <c r="K486" s="54" t="s">
        <v>1031</v>
      </c>
      <c r="L486" s="6" t="s">
        <v>893</v>
      </c>
      <c r="M486" s="51" t="str">
        <f t="shared" si="16"/>
        <v>2</v>
      </c>
      <c r="N486" s="51" t="str">
        <f t="shared" si="17"/>
        <v>1</v>
      </c>
      <c r="O486" s="1" t="str">
        <f t="shared" si="3"/>
        <v>21</v>
      </c>
      <c r="P486" s="1" t="str">
        <f t="shared" si="4"/>
        <v>WIN</v>
      </c>
    </row>
    <row r="487" ht="15.75" customHeight="1">
      <c r="A487" s="58" t="s">
        <v>149</v>
      </c>
      <c r="B487" s="46" t="s">
        <v>1032</v>
      </c>
      <c r="C487" s="10" t="str">
        <f t="shared" si="19"/>
        <v>Wed</v>
      </c>
      <c r="D487" s="19" t="str">
        <f t="shared" si="18"/>
        <v>13/04/2016</v>
      </c>
      <c r="E487" s="59">
        <v>0.8229166666666666</v>
      </c>
      <c r="F487" s="47" t="s">
        <v>19</v>
      </c>
      <c r="H487" s="53" t="s">
        <v>1033</v>
      </c>
      <c r="I487" s="46" t="s">
        <v>59</v>
      </c>
      <c r="J487" s="50">
        <v>52851.0</v>
      </c>
      <c r="K487" s="54" t="s">
        <v>1034</v>
      </c>
      <c r="L487" s="6" t="s">
        <v>893</v>
      </c>
      <c r="M487" s="51" t="str">
        <f t="shared" si="16"/>
        <v>2</v>
      </c>
      <c r="N487" s="51" t="str">
        <f t="shared" si="17"/>
        <v>0</v>
      </c>
      <c r="O487" s="1" t="str">
        <f t="shared" si="3"/>
        <v>20</v>
      </c>
      <c r="P487" s="1" t="str">
        <f t="shared" si="4"/>
        <v>LOSS</v>
      </c>
    </row>
    <row r="488" ht="15.75" customHeight="1">
      <c r="A488" s="58" t="s">
        <v>1035</v>
      </c>
      <c r="B488" s="46" t="s">
        <v>1036</v>
      </c>
      <c r="C488" s="10" t="str">
        <f t="shared" si="19"/>
        <v>Wed</v>
      </c>
      <c r="D488" s="19" t="str">
        <f t="shared" si="18"/>
        <v>28/10/2015</v>
      </c>
      <c r="E488" s="59">
        <v>0.8125</v>
      </c>
      <c r="F488" s="47" t="s">
        <v>19</v>
      </c>
      <c r="H488" s="53" t="s">
        <v>1037</v>
      </c>
      <c r="I488" s="46" t="s">
        <v>59</v>
      </c>
      <c r="J488" s="56">
        <v>8000.0</v>
      </c>
      <c r="K488" s="54" t="s">
        <v>1038</v>
      </c>
      <c r="L488" s="6" t="s">
        <v>893</v>
      </c>
      <c r="M488" s="51" t="str">
        <f t="shared" si="16"/>
        <v>0</v>
      </c>
      <c r="N488" s="51" t="str">
        <f t="shared" si="17"/>
        <v>0</v>
      </c>
      <c r="O488" s="1" t="str">
        <f t="shared" si="3"/>
        <v>00</v>
      </c>
      <c r="P488" s="1" t="str">
        <f t="shared" si="4"/>
        <v>DRAW</v>
      </c>
    </row>
    <row r="489" ht="15.75" customHeight="1">
      <c r="A489" s="58" t="s">
        <v>1039</v>
      </c>
      <c r="B489" s="46" t="s">
        <v>1040</v>
      </c>
      <c r="C489" s="10" t="str">
        <f t="shared" si="19"/>
        <v>Wed</v>
      </c>
      <c r="D489" s="19" t="str">
        <f t="shared" si="18"/>
        <v>02/12/2015</v>
      </c>
      <c r="E489" s="59">
        <v>0.7916666666666666</v>
      </c>
      <c r="F489" s="47" t="s">
        <v>24</v>
      </c>
      <c r="H489" s="53" t="s">
        <v>1041</v>
      </c>
      <c r="I489" s="46" t="s">
        <v>59</v>
      </c>
      <c r="J489" s="50">
        <v>67703.0</v>
      </c>
      <c r="K489" s="54" t="s">
        <v>1042</v>
      </c>
      <c r="L489" s="6" t="s">
        <v>893</v>
      </c>
      <c r="M489" s="51" t="str">
        <f t="shared" si="16"/>
        <v>6</v>
      </c>
      <c r="N489" s="51" t="str">
        <f t="shared" si="17"/>
        <v>1</v>
      </c>
      <c r="O489" s="1" t="str">
        <f t="shared" si="3"/>
        <v>61</v>
      </c>
      <c r="P489" s="1" t="str">
        <f t="shared" si="4"/>
        <v>WIN</v>
      </c>
    </row>
    <row r="490" ht="15.75" customHeight="1">
      <c r="A490" s="58" t="s">
        <v>143</v>
      </c>
      <c r="B490" s="46" t="s">
        <v>1043</v>
      </c>
      <c r="C490" s="10" t="str">
        <f t="shared" si="19"/>
        <v>Wed</v>
      </c>
      <c r="D490" s="19" t="str">
        <f t="shared" si="18"/>
        <v>06/01/2016</v>
      </c>
      <c r="E490" s="59">
        <v>0.8125</v>
      </c>
      <c r="F490" s="47" t="s">
        <v>24</v>
      </c>
      <c r="H490" s="53" t="s">
        <v>1044</v>
      </c>
      <c r="I490" s="46" t="s">
        <v>59</v>
      </c>
      <c r="J490" s="50">
        <v>76667.0</v>
      </c>
      <c r="K490" s="54" t="s">
        <v>1045</v>
      </c>
      <c r="L490" s="6" t="s">
        <v>893</v>
      </c>
      <c r="M490" s="51" t="str">
        <f t="shared" si="16"/>
        <v>4</v>
      </c>
      <c r="N490" s="51" t="str">
        <f t="shared" si="17"/>
        <v>1</v>
      </c>
      <c r="O490" s="1" t="str">
        <f t="shared" si="3"/>
        <v>41</v>
      </c>
      <c r="P490" s="1" t="str">
        <f t="shared" si="4"/>
        <v>WIN</v>
      </c>
    </row>
    <row r="491" ht="15.75" customHeight="1">
      <c r="A491" s="58" t="s">
        <v>145</v>
      </c>
      <c r="B491" s="46" t="s">
        <v>1046</v>
      </c>
      <c r="C491" s="10" t="str">
        <f t="shared" si="19"/>
        <v>Wed</v>
      </c>
      <c r="D491" s="19" t="str">
        <f t="shared" si="18"/>
        <v>13/01/2016</v>
      </c>
      <c r="E491" s="59">
        <v>0.8333333333333334</v>
      </c>
      <c r="F491" s="47" t="s">
        <v>19</v>
      </c>
      <c r="H491" s="53" t="s">
        <v>1047</v>
      </c>
      <c r="I491" s="46" t="s">
        <v>59</v>
      </c>
      <c r="J491" s="50">
        <v>20843.0</v>
      </c>
      <c r="K491" s="54" t="s">
        <v>1048</v>
      </c>
      <c r="L491" s="6" t="s">
        <v>893</v>
      </c>
      <c r="M491" s="51" t="str">
        <f t="shared" si="16"/>
        <v>0</v>
      </c>
      <c r="N491" s="51" t="str">
        <f t="shared" si="17"/>
        <v>2</v>
      </c>
      <c r="O491" s="1" t="str">
        <f t="shared" si="3"/>
        <v>02</v>
      </c>
      <c r="P491" s="1" t="str">
        <f t="shared" si="4"/>
        <v>WIN</v>
      </c>
    </row>
    <row r="492" ht="15.75" customHeight="1">
      <c r="A492" s="58" t="s">
        <v>147</v>
      </c>
      <c r="B492" s="46" t="s">
        <v>1049</v>
      </c>
      <c r="C492" s="10" t="str">
        <f t="shared" si="19"/>
        <v>Wed</v>
      </c>
      <c r="D492" s="19" t="str">
        <f t="shared" si="18"/>
        <v>20/01/2016</v>
      </c>
      <c r="E492" s="59">
        <v>0.8333333333333334</v>
      </c>
      <c r="F492" s="47" t="s">
        <v>19</v>
      </c>
      <c r="H492" s="53" t="s">
        <v>1050</v>
      </c>
      <c r="I492" s="46" t="s">
        <v>59</v>
      </c>
      <c r="J492" s="50">
        <v>53000.0</v>
      </c>
      <c r="K492" s="54" t="s">
        <v>1051</v>
      </c>
      <c r="L492" s="6" t="s">
        <v>893</v>
      </c>
      <c r="M492" s="51" t="str">
        <f t="shared" si="16"/>
        <v>1</v>
      </c>
      <c r="N492" s="51" t="str">
        <f t="shared" si="17"/>
        <v>2</v>
      </c>
      <c r="O492" s="1" t="str">
        <f t="shared" si="3"/>
        <v>12</v>
      </c>
      <c r="P492" s="1" t="str">
        <f t="shared" si="4"/>
        <v>WIN</v>
      </c>
    </row>
    <row r="493" ht="15.75" customHeight="1">
      <c r="A493" s="58" t="s">
        <v>149</v>
      </c>
      <c r="B493" s="46" t="s">
        <v>1052</v>
      </c>
      <c r="C493" s="10" t="str">
        <f t="shared" si="19"/>
        <v>Wed</v>
      </c>
      <c r="D493" s="19" t="str">
        <f t="shared" si="18"/>
        <v>27/01/2016</v>
      </c>
      <c r="E493" s="59">
        <v>0.8541666666666666</v>
      </c>
      <c r="F493" s="47" t="s">
        <v>24</v>
      </c>
      <c r="H493" s="53" t="s">
        <v>1053</v>
      </c>
      <c r="I493" s="46" t="s">
        <v>59</v>
      </c>
      <c r="J493" s="50">
        <v>63405.0</v>
      </c>
      <c r="K493" s="54" t="s">
        <v>1054</v>
      </c>
      <c r="L493" s="6" t="s">
        <v>893</v>
      </c>
      <c r="M493" s="51" t="str">
        <f t="shared" si="16"/>
        <v>3</v>
      </c>
      <c r="N493" s="51" t="str">
        <f t="shared" si="17"/>
        <v>1</v>
      </c>
      <c r="O493" s="1" t="str">
        <f t="shared" si="3"/>
        <v>31</v>
      </c>
      <c r="P493" s="1" t="str">
        <f t="shared" si="4"/>
        <v>WIN</v>
      </c>
    </row>
    <row r="494" ht="15.75" customHeight="1">
      <c r="A494" s="58" t="s">
        <v>151</v>
      </c>
      <c r="B494" s="46" t="s">
        <v>1055</v>
      </c>
      <c r="C494" s="10" t="str">
        <f t="shared" si="19"/>
        <v>Wed</v>
      </c>
      <c r="D494" s="19" t="str">
        <f t="shared" si="18"/>
        <v>03/02/2016</v>
      </c>
      <c r="E494" s="59">
        <v>0.8333333333333334</v>
      </c>
      <c r="F494" s="47" t="s">
        <v>24</v>
      </c>
      <c r="H494" s="53" t="s">
        <v>1056</v>
      </c>
      <c r="I494" s="46" t="s">
        <v>59</v>
      </c>
      <c r="J494" s="50">
        <v>60635.0</v>
      </c>
      <c r="K494" s="54" t="s">
        <v>1057</v>
      </c>
      <c r="L494" s="6" t="s">
        <v>893</v>
      </c>
      <c r="M494" s="51" t="str">
        <f t="shared" si="16"/>
        <v>7</v>
      </c>
      <c r="N494" s="51" t="str">
        <f t="shared" si="17"/>
        <v>0</v>
      </c>
      <c r="O494" s="1" t="str">
        <f t="shared" si="3"/>
        <v>70</v>
      </c>
      <c r="P494" s="1" t="str">
        <f t="shared" si="4"/>
        <v>WIN</v>
      </c>
    </row>
    <row r="495" ht="15.75" customHeight="1">
      <c r="A495" s="58" t="s">
        <v>154</v>
      </c>
      <c r="B495" s="46" t="s">
        <v>1058</v>
      </c>
      <c r="C495" s="10" t="str">
        <f t="shared" si="19"/>
        <v>Wed</v>
      </c>
      <c r="D495" s="19" t="str">
        <f t="shared" si="18"/>
        <v>10/02/2016</v>
      </c>
      <c r="E495" s="59">
        <v>0.8333333333333334</v>
      </c>
      <c r="F495" s="47" t="s">
        <v>19</v>
      </c>
      <c r="H495" s="53" t="s">
        <v>1059</v>
      </c>
      <c r="I495" s="46" t="s">
        <v>59</v>
      </c>
      <c r="J495" s="50">
        <v>16296.0</v>
      </c>
      <c r="K495" s="54" t="s">
        <v>1060</v>
      </c>
      <c r="L495" s="6" t="s">
        <v>893</v>
      </c>
      <c r="M495" s="51" t="str">
        <f t="shared" si="16"/>
        <v>1</v>
      </c>
      <c r="N495" s="51" t="str">
        <f t="shared" si="17"/>
        <v>1</v>
      </c>
      <c r="O495" s="1" t="str">
        <f t="shared" si="3"/>
        <v>11</v>
      </c>
      <c r="P495" s="1" t="str">
        <f t="shared" si="4"/>
        <v>DRAW</v>
      </c>
    </row>
    <row r="496" ht="15.75" customHeight="1">
      <c r="A496" s="58" t="s">
        <v>169</v>
      </c>
      <c r="B496" s="46" t="s">
        <v>1061</v>
      </c>
      <c r="C496" s="10" t="str">
        <f t="shared" si="19"/>
        <v>Sun</v>
      </c>
      <c r="D496" s="19" t="str">
        <f t="shared" si="18"/>
        <v>22/05/2016</v>
      </c>
      <c r="E496" s="59">
        <v>0.8541666666666666</v>
      </c>
      <c r="F496" s="47" t="s">
        <v>24</v>
      </c>
      <c r="H496" s="53" t="s">
        <v>1062</v>
      </c>
      <c r="I496" s="46" t="s">
        <v>59</v>
      </c>
      <c r="J496" s="56">
        <v>54907.0</v>
      </c>
      <c r="K496" s="54" t="s">
        <v>1063</v>
      </c>
      <c r="L496" s="6" t="s">
        <v>893</v>
      </c>
      <c r="M496" s="51" t="str">
        <f t="shared" si="16"/>
        <v>2</v>
      </c>
      <c r="N496" s="61">
        <v>0.0</v>
      </c>
      <c r="O496" s="1" t="str">
        <f t="shared" si="3"/>
        <v>20</v>
      </c>
      <c r="P496" s="1" t="str">
        <f t="shared" si="4"/>
        <v>WIN</v>
      </c>
    </row>
    <row r="497" ht="15.75" customHeight="1">
      <c r="A497" s="52">
        <v>1.0</v>
      </c>
      <c r="B497" s="46" t="s">
        <v>1064</v>
      </c>
      <c r="C497" s="10" t="str">
        <f t="shared" si="19"/>
        <v>Sun</v>
      </c>
      <c r="D497" s="19" t="str">
        <f t="shared" si="18"/>
        <v>24/08/2014</v>
      </c>
      <c r="E497" s="59">
        <v>0.8333333333333334</v>
      </c>
      <c r="F497" s="47" t="s">
        <v>24</v>
      </c>
      <c r="G497" s="48" t="s">
        <v>30</v>
      </c>
      <c r="H497" s="53" t="s">
        <v>1065</v>
      </c>
      <c r="I497" s="46" t="s">
        <v>59</v>
      </c>
      <c r="J497" s="50">
        <v>68105.0</v>
      </c>
      <c r="K497" s="54" t="s">
        <v>1066</v>
      </c>
      <c r="L497" s="6" t="s">
        <v>1067</v>
      </c>
      <c r="M497" s="51" t="str">
        <f t="shared" si="16"/>
        <v>3</v>
      </c>
      <c r="N497" s="51" t="str">
        <f t="shared" ref="N497:N555" si="20">right(K497,1)</f>
        <v>0</v>
      </c>
      <c r="O497" s="1" t="str">
        <f t="shared" si="3"/>
        <v>30</v>
      </c>
      <c r="P497" s="1" t="str">
        <f t="shared" si="4"/>
        <v>WIN</v>
      </c>
    </row>
    <row r="498" ht="15.75" customHeight="1">
      <c r="A498" s="52">
        <v>2.0</v>
      </c>
      <c r="B498" s="46" t="s">
        <v>1068</v>
      </c>
      <c r="C498" s="10" t="str">
        <f t="shared" si="19"/>
        <v>Sun</v>
      </c>
      <c r="D498" s="19" t="str">
        <f t="shared" si="18"/>
        <v>31/08/2014</v>
      </c>
      <c r="E498" s="59">
        <v>0.75</v>
      </c>
      <c r="F498" s="47" t="s">
        <v>19</v>
      </c>
      <c r="G498" s="48" t="s">
        <v>30</v>
      </c>
      <c r="H498" s="53" t="s">
        <v>1069</v>
      </c>
      <c r="I498" s="46" t="s">
        <v>59</v>
      </c>
      <c r="J498" s="50">
        <v>21200.0</v>
      </c>
      <c r="K498" s="54" t="s">
        <v>1070</v>
      </c>
      <c r="L498" s="6" t="s">
        <v>1067</v>
      </c>
      <c r="M498" s="51" t="str">
        <f t="shared" si="16"/>
        <v>0</v>
      </c>
      <c r="N498" s="51" t="str">
        <f t="shared" si="20"/>
        <v>1</v>
      </c>
      <c r="O498" s="1" t="str">
        <f t="shared" si="3"/>
        <v>01</v>
      </c>
      <c r="P498" s="1" t="str">
        <f t="shared" si="4"/>
        <v>WIN</v>
      </c>
    </row>
    <row r="499" ht="15.75" customHeight="1">
      <c r="A499" s="52">
        <v>3.0</v>
      </c>
      <c r="B499" s="46" t="s">
        <v>1071</v>
      </c>
      <c r="C499" s="10" t="str">
        <f t="shared" si="19"/>
        <v>Sat</v>
      </c>
      <c r="D499" s="19" t="str">
        <f t="shared" si="18"/>
        <v>13/09/2014</v>
      </c>
      <c r="E499" s="59">
        <v>0.625</v>
      </c>
      <c r="F499" s="47" t="s">
        <v>24</v>
      </c>
      <c r="G499" s="48" t="s">
        <v>30</v>
      </c>
      <c r="H499" s="53" t="s">
        <v>1072</v>
      </c>
      <c r="I499" s="46" t="s">
        <v>59</v>
      </c>
      <c r="J499" s="50">
        <v>80181.0</v>
      </c>
      <c r="K499" s="54" t="s">
        <v>1073</v>
      </c>
      <c r="L499" s="6" t="s">
        <v>1067</v>
      </c>
      <c r="M499" s="51" t="str">
        <f t="shared" si="16"/>
        <v>2</v>
      </c>
      <c r="N499" s="51" t="str">
        <f t="shared" si="20"/>
        <v>0</v>
      </c>
      <c r="O499" s="1" t="str">
        <f t="shared" si="3"/>
        <v>20</v>
      </c>
      <c r="P499" s="1" t="str">
        <f t="shared" si="4"/>
        <v>WIN</v>
      </c>
    </row>
    <row r="500" ht="15.75" customHeight="1">
      <c r="A500" s="52">
        <v>4.0</v>
      </c>
      <c r="B500" s="46" t="s">
        <v>1074</v>
      </c>
      <c r="C500" s="10" t="str">
        <f t="shared" si="19"/>
        <v>Sun</v>
      </c>
      <c r="D500" s="19" t="str">
        <f t="shared" si="18"/>
        <v>21/09/2014</v>
      </c>
      <c r="E500" s="59">
        <v>0.8333333333333334</v>
      </c>
      <c r="F500" s="47" t="s">
        <v>19</v>
      </c>
      <c r="G500" s="48" t="s">
        <v>30</v>
      </c>
      <c r="H500" s="53" t="s">
        <v>1075</v>
      </c>
      <c r="I500" s="46" t="s">
        <v>59</v>
      </c>
      <c r="J500" s="50">
        <v>22170.0</v>
      </c>
      <c r="K500" s="54" t="s">
        <v>1076</v>
      </c>
      <c r="L500" s="6" t="s">
        <v>1067</v>
      </c>
      <c r="M500" s="51" t="str">
        <f t="shared" si="16"/>
        <v>0</v>
      </c>
      <c r="N500" s="51" t="str">
        <f t="shared" si="20"/>
        <v>5</v>
      </c>
      <c r="O500" s="1" t="str">
        <f t="shared" si="3"/>
        <v>05</v>
      </c>
      <c r="P500" s="1" t="str">
        <f t="shared" si="4"/>
        <v>WIN</v>
      </c>
    </row>
    <row r="501" ht="15.75" customHeight="1">
      <c r="A501" s="52">
        <v>5.0</v>
      </c>
      <c r="B501" s="46" t="s">
        <v>1077</v>
      </c>
      <c r="C501" s="10" t="str">
        <f t="shared" si="19"/>
        <v>Wed</v>
      </c>
      <c r="D501" s="19" t="str">
        <f t="shared" si="18"/>
        <v>24/09/2014</v>
      </c>
      <c r="E501" s="59">
        <v>0.875</v>
      </c>
      <c r="F501" s="47" t="s">
        <v>19</v>
      </c>
      <c r="G501" s="48" t="s">
        <v>30</v>
      </c>
      <c r="H501" s="53" t="s">
        <v>1078</v>
      </c>
      <c r="I501" s="46" t="s">
        <v>59</v>
      </c>
      <c r="J501" s="50">
        <v>24820.0</v>
      </c>
      <c r="K501" s="54" t="s">
        <v>1079</v>
      </c>
      <c r="L501" s="6" t="s">
        <v>1067</v>
      </c>
      <c r="M501" s="51" t="str">
        <f t="shared" si="16"/>
        <v>0</v>
      </c>
      <c r="N501" s="51" t="str">
        <f t="shared" si="20"/>
        <v>0</v>
      </c>
      <c r="O501" s="1" t="str">
        <f t="shared" si="3"/>
        <v>00</v>
      </c>
      <c r="P501" s="1" t="str">
        <f t="shared" si="4"/>
        <v>DRAW</v>
      </c>
    </row>
    <row r="502" ht="15.75" customHeight="1">
      <c r="A502" s="52">
        <v>6.0</v>
      </c>
      <c r="B502" s="46" t="s">
        <v>1080</v>
      </c>
      <c r="C502" s="10" t="str">
        <f t="shared" si="19"/>
        <v>Sat</v>
      </c>
      <c r="D502" s="19" t="str">
        <f t="shared" si="18"/>
        <v>27/09/2014</v>
      </c>
      <c r="E502" s="59">
        <v>0.7083333333333334</v>
      </c>
      <c r="F502" s="47" t="s">
        <v>24</v>
      </c>
      <c r="G502" s="48" t="s">
        <v>87</v>
      </c>
      <c r="H502" s="53" t="s">
        <v>1081</v>
      </c>
      <c r="I502" s="46" t="s">
        <v>59</v>
      </c>
      <c r="J502" s="50">
        <v>72596.0</v>
      </c>
      <c r="K502" s="54" t="s">
        <v>1082</v>
      </c>
      <c r="L502" s="6" t="s">
        <v>1067</v>
      </c>
      <c r="M502" s="51" t="str">
        <f t="shared" si="16"/>
        <v>6</v>
      </c>
      <c r="N502" s="51" t="str">
        <f t="shared" si="20"/>
        <v>0</v>
      </c>
      <c r="O502" s="1" t="str">
        <f t="shared" si="3"/>
        <v>60</v>
      </c>
      <c r="P502" s="1" t="str">
        <f t="shared" si="4"/>
        <v>WIN</v>
      </c>
    </row>
    <row r="503" ht="15.75" customHeight="1">
      <c r="A503" s="52">
        <v>7.0</v>
      </c>
      <c r="B503" s="46" t="s">
        <v>1083</v>
      </c>
      <c r="C503" s="10" t="str">
        <f t="shared" si="19"/>
        <v>Sat</v>
      </c>
      <c r="D503" s="19" t="str">
        <f t="shared" si="18"/>
        <v>04/10/2014</v>
      </c>
      <c r="E503" s="59">
        <v>0.7083333333333334</v>
      </c>
      <c r="F503" s="47" t="s">
        <v>19</v>
      </c>
      <c r="G503" s="48" t="s">
        <v>30</v>
      </c>
      <c r="H503" s="53" t="s">
        <v>1084</v>
      </c>
      <c r="I503" s="46" t="s">
        <v>59</v>
      </c>
      <c r="J503" s="50">
        <v>14070.0</v>
      </c>
      <c r="K503" s="54" t="s">
        <v>1085</v>
      </c>
      <c r="L503" s="6" t="s">
        <v>1067</v>
      </c>
      <c r="M503" s="51" t="str">
        <f t="shared" si="16"/>
        <v>0</v>
      </c>
      <c r="N503" s="51" t="str">
        <f t="shared" si="20"/>
        <v>2</v>
      </c>
      <c r="O503" s="1" t="str">
        <f t="shared" si="3"/>
        <v>02</v>
      </c>
      <c r="P503" s="1" t="str">
        <f t="shared" si="4"/>
        <v>WIN</v>
      </c>
    </row>
    <row r="504" ht="15.75" customHeight="1">
      <c r="A504" s="52">
        <v>8.0</v>
      </c>
      <c r="B504" s="46" t="s">
        <v>1086</v>
      </c>
      <c r="C504" s="10" t="str">
        <f t="shared" si="19"/>
        <v>Sat</v>
      </c>
      <c r="D504" s="19" t="str">
        <f t="shared" si="18"/>
        <v>18/10/2014</v>
      </c>
      <c r="E504" s="59">
        <v>0.7916666666666666</v>
      </c>
      <c r="F504" s="47" t="s">
        <v>24</v>
      </c>
      <c r="G504" s="48" t="s">
        <v>30</v>
      </c>
      <c r="H504" s="53" t="s">
        <v>1087</v>
      </c>
      <c r="I504" s="46" t="s">
        <v>59</v>
      </c>
      <c r="J504" s="50">
        <v>75546.0</v>
      </c>
      <c r="K504" s="54" t="s">
        <v>1088</v>
      </c>
      <c r="L504" s="6" t="s">
        <v>1067</v>
      </c>
      <c r="M504" s="51" t="str">
        <f t="shared" si="16"/>
        <v>3</v>
      </c>
      <c r="N504" s="51" t="str">
        <f t="shared" si="20"/>
        <v>0</v>
      </c>
      <c r="O504" s="1" t="str">
        <f t="shared" si="3"/>
        <v>30</v>
      </c>
      <c r="P504" s="1" t="str">
        <f t="shared" si="4"/>
        <v>WIN</v>
      </c>
    </row>
    <row r="505" ht="15.75" customHeight="1">
      <c r="A505" s="52">
        <v>9.0</v>
      </c>
      <c r="B505" s="46" t="s">
        <v>1089</v>
      </c>
      <c r="C505" s="10" t="str">
        <f t="shared" si="19"/>
        <v>Sat</v>
      </c>
      <c r="D505" s="19" t="str">
        <f t="shared" si="18"/>
        <v>25/10/2014</v>
      </c>
      <c r="E505" s="59">
        <v>0.7083333333333334</v>
      </c>
      <c r="F505" s="47" t="s">
        <v>19</v>
      </c>
      <c r="G505" s="48" t="s">
        <v>30</v>
      </c>
      <c r="H505" s="53" t="s">
        <v>1090</v>
      </c>
      <c r="I505" s="46" t="s">
        <v>59</v>
      </c>
      <c r="J505" s="50">
        <v>84000.0</v>
      </c>
      <c r="K505" s="54" t="s">
        <v>1091</v>
      </c>
      <c r="L505" s="6" t="s">
        <v>1067</v>
      </c>
      <c r="M505" s="51" t="str">
        <f t="shared" si="16"/>
        <v>3</v>
      </c>
      <c r="N505" s="51" t="str">
        <f t="shared" si="20"/>
        <v>1</v>
      </c>
      <c r="O505" s="1" t="str">
        <f t="shared" si="3"/>
        <v>31</v>
      </c>
      <c r="P505" s="1" t="str">
        <f t="shared" si="4"/>
        <v>LOSS</v>
      </c>
    </row>
    <row r="506" ht="15.75" customHeight="1">
      <c r="A506" s="52">
        <v>10.0</v>
      </c>
      <c r="B506" s="46" t="s">
        <v>1092</v>
      </c>
      <c r="C506" s="10" t="str">
        <f t="shared" si="19"/>
        <v>Sat</v>
      </c>
      <c r="D506" s="19" t="str">
        <f t="shared" si="18"/>
        <v>01/11/2014</v>
      </c>
      <c r="E506" s="59">
        <v>0.7916666666666666</v>
      </c>
      <c r="F506" s="47" t="s">
        <v>24</v>
      </c>
      <c r="G506" s="48" t="s">
        <v>30</v>
      </c>
      <c r="H506" s="53" t="s">
        <v>1093</v>
      </c>
      <c r="I506" s="46" t="s">
        <v>59</v>
      </c>
      <c r="J506" s="50">
        <v>71468.0</v>
      </c>
      <c r="K506" s="54" t="s">
        <v>1094</v>
      </c>
      <c r="L506" s="6" t="s">
        <v>1067</v>
      </c>
      <c r="M506" s="51" t="str">
        <f t="shared" si="16"/>
        <v>0</v>
      </c>
      <c r="N506" s="51" t="str">
        <f t="shared" si="20"/>
        <v>1</v>
      </c>
      <c r="O506" s="1" t="str">
        <f t="shared" si="3"/>
        <v>01</v>
      </c>
      <c r="P506" s="1" t="str">
        <f t="shared" si="4"/>
        <v>LOSS</v>
      </c>
    </row>
    <row r="507" ht="15.75" customHeight="1">
      <c r="A507" s="52">
        <v>11.0</v>
      </c>
      <c r="B507" s="46" t="s">
        <v>1095</v>
      </c>
      <c r="C507" s="10" t="str">
        <f t="shared" si="19"/>
        <v>Sat</v>
      </c>
      <c r="D507" s="19" t="str">
        <f t="shared" si="18"/>
        <v>08/11/2014</v>
      </c>
      <c r="E507" s="59">
        <v>0.625</v>
      </c>
      <c r="F507" s="47" t="s">
        <v>19</v>
      </c>
      <c r="G507" s="48" t="s">
        <v>43</v>
      </c>
      <c r="H507" s="53" t="s">
        <v>1096</v>
      </c>
      <c r="I507" s="46" t="s">
        <v>59</v>
      </c>
      <c r="J507" s="50">
        <v>12606.0</v>
      </c>
      <c r="K507" s="54" t="s">
        <v>1097</v>
      </c>
      <c r="L507" s="6" t="s">
        <v>1067</v>
      </c>
      <c r="M507" s="51" t="str">
        <f t="shared" si="16"/>
        <v>1</v>
      </c>
      <c r="N507" s="51" t="str">
        <f t="shared" si="20"/>
        <v>2</v>
      </c>
      <c r="O507" s="1" t="str">
        <f t="shared" si="3"/>
        <v>12</v>
      </c>
      <c r="P507" s="1" t="str">
        <f t="shared" si="4"/>
        <v>WIN</v>
      </c>
    </row>
    <row r="508" ht="15.75" customHeight="1">
      <c r="A508" s="52">
        <v>12.0</v>
      </c>
      <c r="B508" s="46" t="s">
        <v>1098</v>
      </c>
      <c r="C508" s="10" t="str">
        <f t="shared" si="19"/>
        <v>Sat</v>
      </c>
      <c r="D508" s="19" t="str">
        <f t="shared" si="18"/>
        <v>22/11/2014</v>
      </c>
      <c r="E508" s="59">
        <v>0.7916666666666666</v>
      </c>
      <c r="F508" s="47" t="s">
        <v>24</v>
      </c>
      <c r="G508" s="48" t="s">
        <v>33</v>
      </c>
      <c r="H508" s="53" t="s">
        <v>1099</v>
      </c>
      <c r="I508" s="46" t="s">
        <v>59</v>
      </c>
      <c r="J508" s="50">
        <v>78283.0</v>
      </c>
      <c r="K508" s="54" t="s">
        <v>1100</v>
      </c>
      <c r="L508" s="6" t="s">
        <v>1067</v>
      </c>
      <c r="M508" s="51" t="str">
        <f t="shared" si="16"/>
        <v>5</v>
      </c>
      <c r="N508" s="51" t="str">
        <f t="shared" si="20"/>
        <v>1</v>
      </c>
      <c r="O508" s="1" t="str">
        <f t="shared" si="3"/>
        <v>51</v>
      </c>
      <c r="P508" s="1" t="str">
        <f t="shared" si="4"/>
        <v>WIN</v>
      </c>
    </row>
    <row r="509" ht="15.75" customHeight="1">
      <c r="A509" s="52">
        <v>13.0</v>
      </c>
      <c r="B509" s="46" t="s">
        <v>1101</v>
      </c>
      <c r="C509" s="10" t="str">
        <f t="shared" si="19"/>
        <v>Sun</v>
      </c>
      <c r="D509" s="19" t="str">
        <f t="shared" si="18"/>
        <v>30/11/2014</v>
      </c>
      <c r="E509" s="59">
        <v>0.8333333333333334</v>
      </c>
      <c r="F509" s="47" t="s">
        <v>19</v>
      </c>
      <c r="G509" s="48" t="s">
        <v>33</v>
      </c>
      <c r="H509" s="53" t="s">
        <v>1102</v>
      </c>
      <c r="I509" s="46" t="s">
        <v>59</v>
      </c>
      <c r="J509" s="50">
        <v>51200.0</v>
      </c>
      <c r="K509" s="54" t="s">
        <v>1103</v>
      </c>
      <c r="L509" s="6" t="s">
        <v>1067</v>
      </c>
      <c r="M509" s="51" t="str">
        <f t="shared" si="16"/>
        <v>0</v>
      </c>
      <c r="N509" s="51" t="str">
        <f t="shared" si="20"/>
        <v>1</v>
      </c>
      <c r="O509" s="1" t="str">
        <f t="shared" si="3"/>
        <v>01</v>
      </c>
      <c r="P509" s="1" t="str">
        <f t="shared" si="4"/>
        <v>WIN</v>
      </c>
    </row>
    <row r="510" ht="15.75" customHeight="1">
      <c r="A510" s="52">
        <v>14.0</v>
      </c>
      <c r="B510" s="46" t="s">
        <v>1104</v>
      </c>
      <c r="C510" s="10" t="str">
        <f t="shared" si="19"/>
        <v>Sun</v>
      </c>
      <c r="D510" s="19" t="str">
        <f t="shared" si="18"/>
        <v>07/12/2014</v>
      </c>
      <c r="E510" s="59">
        <v>0.6666666666666666</v>
      </c>
      <c r="F510" s="47" t="s">
        <v>24</v>
      </c>
      <c r="G510" s="48" t="s">
        <v>33</v>
      </c>
      <c r="H510" s="53" t="s">
        <v>1105</v>
      </c>
      <c r="I510" s="46" t="s">
        <v>59</v>
      </c>
      <c r="J510" s="50">
        <v>76057.0</v>
      </c>
      <c r="K510" s="54" t="s">
        <v>1106</v>
      </c>
      <c r="L510" s="6" t="s">
        <v>1067</v>
      </c>
      <c r="M510" s="51" t="str">
        <f t="shared" si="16"/>
        <v>5</v>
      </c>
      <c r="N510" s="51" t="str">
        <f t="shared" si="20"/>
        <v>1</v>
      </c>
      <c r="O510" s="1" t="str">
        <f t="shared" si="3"/>
        <v>51</v>
      </c>
      <c r="P510" s="1" t="str">
        <f t="shared" si="4"/>
        <v>WIN</v>
      </c>
    </row>
    <row r="511" ht="15.75" customHeight="1">
      <c r="A511" s="52">
        <v>15.0</v>
      </c>
      <c r="B511" s="46" t="s">
        <v>1107</v>
      </c>
      <c r="C511" s="10" t="str">
        <f t="shared" si="19"/>
        <v>Sat</v>
      </c>
      <c r="D511" s="19" t="str">
        <f t="shared" si="18"/>
        <v>13/12/2014</v>
      </c>
      <c r="E511" s="59">
        <v>0.625</v>
      </c>
      <c r="F511" s="47" t="s">
        <v>19</v>
      </c>
      <c r="G511" s="48" t="s">
        <v>33</v>
      </c>
      <c r="H511" s="53" t="s">
        <v>1108</v>
      </c>
      <c r="I511" s="46" t="s">
        <v>59</v>
      </c>
      <c r="J511" s="50">
        <v>9500.0</v>
      </c>
      <c r="K511" s="54" t="s">
        <v>1109</v>
      </c>
      <c r="L511" s="6" t="s">
        <v>1067</v>
      </c>
      <c r="M511" s="51" t="str">
        <f t="shared" si="16"/>
        <v>0</v>
      </c>
      <c r="N511" s="51" t="str">
        <f t="shared" si="20"/>
        <v>0</v>
      </c>
      <c r="O511" s="1" t="str">
        <f t="shared" si="3"/>
        <v>00</v>
      </c>
      <c r="P511" s="1" t="str">
        <f t="shared" si="4"/>
        <v>DRAW</v>
      </c>
    </row>
    <row r="512" ht="15.75" customHeight="1">
      <c r="A512" s="52">
        <v>16.0</v>
      </c>
      <c r="B512" s="46" t="s">
        <v>1110</v>
      </c>
      <c r="C512" s="10" t="str">
        <f t="shared" si="19"/>
        <v>Sat</v>
      </c>
      <c r="D512" s="19" t="str">
        <f t="shared" si="18"/>
        <v>20/12/2014</v>
      </c>
      <c r="E512" s="59">
        <v>0.625</v>
      </c>
      <c r="F512" s="47" t="s">
        <v>24</v>
      </c>
      <c r="G512" s="48" t="s">
        <v>33</v>
      </c>
      <c r="H512" s="53" t="s">
        <v>1111</v>
      </c>
      <c r="I512" s="46" t="s">
        <v>59</v>
      </c>
      <c r="J512" s="50">
        <v>60066.0</v>
      </c>
      <c r="K512" s="54" t="s">
        <v>1112</v>
      </c>
      <c r="L512" s="6" t="s">
        <v>1067</v>
      </c>
      <c r="M512" s="51" t="str">
        <f t="shared" si="16"/>
        <v>5</v>
      </c>
      <c r="N512" s="51" t="str">
        <f t="shared" si="20"/>
        <v>0</v>
      </c>
      <c r="O512" s="1" t="str">
        <f t="shared" si="3"/>
        <v>50</v>
      </c>
      <c r="P512" s="1" t="str">
        <f t="shared" si="4"/>
        <v>WIN</v>
      </c>
    </row>
    <row r="513" ht="15.75" customHeight="1">
      <c r="A513" s="52">
        <v>17.0</v>
      </c>
      <c r="B513" s="46" t="s">
        <v>1113</v>
      </c>
      <c r="C513" s="10" t="str">
        <f t="shared" si="19"/>
        <v>Sun</v>
      </c>
      <c r="D513" s="19" t="str">
        <f t="shared" si="18"/>
        <v>04/01/2015</v>
      </c>
      <c r="E513" s="59">
        <v>0.8333333333333334</v>
      </c>
      <c r="F513" s="47" t="s">
        <v>19</v>
      </c>
      <c r="G513" s="48" t="s">
        <v>33</v>
      </c>
      <c r="H513" s="53" t="s">
        <v>1114</v>
      </c>
      <c r="I513" s="46" t="s">
        <v>59</v>
      </c>
      <c r="J513" s="50">
        <v>28748.0</v>
      </c>
      <c r="K513" s="54" t="s">
        <v>1115</v>
      </c>
      <c r="L513" s="6" t="s">
        <v>1067</v>
      </c>
      <c r="M513" s="51" t="str">
        <f t="shared" si="16"/>
        <v>1</v>
      </c>
      <c r="N513" s="51" t="str">
        <f t="shared" si="20"/>
        <v>0</v>
      </c>
      <c r="O513" s="1" t="str">
        <f t="shared" si="3"/>
        <v>10</v>
      </c>
      <c r="P513" s="1" t="str">
        <f t="shared" si="4"/>
        <v>LOSS</v>
      </c>
    </row>
    <row r="514" ht="15.75" customHeight="1">
      <c r="A514" s="52">
        <v>18.0</v>
      </c>
      <c r="B514" s="46" t="s">
        <v>1116</v>
      </c>
      <c r="C514" s="10" t="str">
        <f t="shared" si="19"/>
        <v>Sun</v>
      </c>
      <c r="D514" s="19" t="str">
        <f t="shared" si="18"/>
        <v>11/01/2015</v>
      </c>
      <c r="E514" s="59">
        <v>0.8333333333333334</v>
      </c>
      <c r="F514" s="47" t="s">
        <v>24</v>
      </c>
      <c r="G514" s="48" t="s">
        <v>33</v>
      </c>
      <c r="H514" s="53" t="s">
        <v>1117</v>
      </c>
      <c r="I514" s="46" t="s">
        <v>59</v>
      </c>
      <c r="J514" s="50">
        <v>81658.0</v>
      </c>
      <c r="K514" s="54" t="s">
        <v>1118</v>
      </c>
      <c r="L514" s="6" t="s">
        <v>1067</v>
      </c>
      <c r="M514" s="51" t="str">
        <f t="shared" si="16"/>
        <v>3</v>
      </c>
      <c r="N514" s="51" t="str">
        <f t="shared" si="20"/>
        <v>1</v>
      </c>
      <c r="O514" s="1" t="str">
        <f t="shared" si="3"/>
        <v>31</v>
      </c>
      <c r="P514" s="1" t="str">
        <f t="shared" si="4"/>
        <v>WIN</v>
      </c>
    </row>
    <row r="515" ht="15.75" customHeight="1">
      <c r="A515" s="52">
        <v>19.0</v>
      </c>
      <c r="B515" s="46" t="s">
        <v>1119</v>
      </c>
      <c r="C515" s="10" t="str">
        <f t="shared" si="19"/>
        <v>Sun</v>
      </c>
      <c r="D515" s="19" t="str">
        <f t="shared" si="18"/>
        <v>18/01/2015</v>
      </c>
      <c r="E515" s="59">
        <v>0.75</v>
      </c>
      <c r="F515" s="47" t="s">
        <v>19</v>
      </c>
      <c r="G515" s="48" t="s">
        <v>33</v>
      </c>
      <c r="H515" s="53" t="s">
        <v>1120</v>
      </c>
      <c r="I515" s="46" t="s">
        <v>59</v>
      </c>
      <c r="J515" s="50">
        <v>25173.0</v>
      </c>
      <c r="K515" s="54" t="s">
        <v>1121</v>
      </c>
      <c r="L515" s="6" t="s">
        <v>1067</v>
      </c>
      <c r="M515" s="51" t="str">
        <f t="shared" si="16"/>
        <v>0</v>
      </c>
      <c r="N515" s="51" t="str">
        <f t="shared" si="20"/>
        <v>4</v>
      </c>
      <c r="O515" s="1" t="str">
        <f t="shared" si="3"/>
        <v>04</v>
      </c>
      <c r="P515" s="1" t="str">
        <f t="shared" si="4"/>
        <v>WIN</v>
      </c>
    </row>
    <row r="516" ht="15.75" customHeight="1">
      <c r="A516" s="52">
        <v>20.0</v>
      </c>
      <c r="B516" s="46" t="s">
        <v>1122</v>
      </c>
      <c r="C516" s="10" t="str">
        <f t="shared" si="19"/>
        <v>Sat</v>
      </c>
      <c r="D516" s="19" t="str">
        <f t="shared" si="18"/>
        <v>24/01/2015</v>
      </c>
      <c r="E516" s="59">
        <v>0.7083333333333334</v>
      </c>
      <c r="F516" s="47" t="s">
        <v>19</v>
      </c>
      <c r="G516" s="48" t="s">
        <v>33</v>
      </c>
      <c r="H516" s="53" t="s">
        <v>1123</v>
      </c>
      <c r="I516" s="46" t="s">
        <v>59</v>
      </c>
      <c r="J516" s="50">
        <v>28235.0</v>
      </c>
      <c r="K516" s="54" t="s">
        <v>1124</v>
      </c>
      <c r="L516" s="6" t="s">
        <v>1067</v>
      </c>
      <c r="M516" s="51" t="str">
        <f t="shared" si="16"/>
        <v>0</v>
      </c>
      <c r="N516" s="51" t="str">
        <f t="shared" si="20"/>
        <v>6</v>
      </c>
      <c r="O516" s="1" t="str">
        <f t="shared" si="3"/>
        <v>06</v>
      </c>
      <c r="P516" s="1" t="str">
        <f t="shared" si="4"/>
        <v>WIN</v>
      </c>
    </row>
    <row r="517" ht="15.75" customHeight="1">
      <c r="A517" s="52">
        <v>21.0</v>
      </c>
      <c r="B517" s="46" t="s">
        <v>1125</v>
      </c>
      <c r="C517" s="10" t="str">
        <f t="shared" si="19"/>
        <v>Sun</v>
      </c>
      <c r="D517" s="19" t="str">
        <f t="shared" si="18"/>
        <v>01/02/2015</v>
      </c>
      <c r="E517" s="59">
        <v>0.8333333333333334</v>
      </c>
      <c r="F517" s="47" t="s">
        <v>24</v>
      </c>
      <c r="G517" s="48" t="s">
        <v>33</v>
      </c>
      <c r="H517" s="53" t="s">
        <v>1126</v>
      </c>
      <c r="I517" s="46" t="s">
        <v>59</v>
      </c>
      <c r="J517" s="50">
        <v>60005.0</v>
      </c>
      <c r="K517" s="54" t="s">
        <v>1127</v>
      </c>
      <c r="L517" s="6" t="s">
        <v>1067</v>
      </c>
      <c r="M517" s="51" t="str">
        <f t="shared" si="16"/>
        <v>3</v>
      </c>
      <c r="N517" s="51" t="str">
        <f t="shared" si="20"/>
        <v>2</v>
      </c>
      <c r="O517" s="1" t="str">
        <f t="shared" si="3"/>
        <v>32</v>
      </c>
      <c r="P517" s="1" t="str">
        <f t="shared" si="4"/>
        <v>WIN</v>
      </c>
    </row>
    <row r="518" ht="15.75" customHeight="1">
      <c r="A518" s="52">
        <v>22.0</v>
      </c>
      <c r="B518" s="46" t="s">
        <v>1128</v>
      </c>
      <c r="C518" s="10" t="str">
        <f t="shared" si="19"/>
        <v>Sun</v>
      </c>
      <c r="D518" s="19" t="str">
        <f t="shared" si="18"/>
        <v>08/02/2015</v>
      </c>
      <c r="E518" s="59">
        <v>0.8333333333333334</v>
      </c>
      <c r="F518" s="47" t="s">
        <v>19</v>
      </c>
      <c r="G518" s="48" t="s">
        <v>33</v>
      </c>
      <c r="H518" s="53" t="s">
        <v>1129</v>
      </c>
      <c r="I518" s="46" t="s">
        <v>59</v>
      </c>
      <c r="J518" s="50">
        <v>44521.0</v>
      </c>
      <c r="K518" s="54" t="s">
        <v>1130</v>
      </c>
      <c r="L518" s="6" t="s">
        <v>1067</v>
      </c>
      <c r="M518" s="51" t="str">
        <f t="shared" si="16"/>
        <v>2</v>
      </c>
      <c r="N518" s="51" t="str">
        <f t="shared" si="20"/>
        <v>5</v>
      </c>
      <c r="O518" s="1" t="str">
        <f t="shared" si="3"/>
        <v>25</v>
      </c>
      <c r="P518" s="1" t="str">
        <f t="shared" si="4"/>
        <v>WIN</v>
      </c>
    </row>
    <row r="519" ht="15.75" customHeight="1">
      <c r="A519" s="52">
        <v>23.0</v>
      </c>
      <c r="B519" s="46" t="s">
        <v>1131</v>
      </c>
      <c r="C519" s="10" t="str">
        <f t="shared" si="19"/>
        <v>Sun</v>
      </c>
      <c r="D519" s="19" t="str">
        <f t="shared" si="18"/>
        <v>15/02/2015</v>
      </c>
      <c r="E519" s="59">
        <v>0.6666666666666666</v>
      </c>
      <c r="F519" s="47" t="s">
        <v>24</v>
      </c>
      <c r="G519" s="48" t="s">
        <v>33</v>
      </c>
      <c r="H519" s="53" t="s">
        <v>1132</v>
      </c>
      <c r="I519" s="46" t="s">
        <v>59</v>
      </c>
      <c r="J519" s="50">
        <v>74963.0</v>
      </c>
      <c r="K519" s="54" t="s">
        <v>1133</v>
      </c>
      <c r="L519" s="6" t="s">
        <v>1067</v>
      </c>
      <c r="M519" s="51" t="str">
        <f t="shared" si="16"/>
        <v>5</v>
      </c>
      <c r="N519" s="51" t="str">
        <f t="shared" si="20"/>
        <v>0</v>
      </c>
      <c r="O519" s="1" t="str">
        <f t="shared" si="3"/>
        <v>50</v>
      </c>
      <c r="P519" s="1" t="str">
        <f t="shared" si="4"/>
        <v>WIN</v>
      </c>
    </row>
    <row r="520" ht="15.75" customHeight="1">
      <c r="A520" s="52">
        <v>24.0</v>
      </c>
      <c r="B520" s="46" t="s">
        <v>1134</v>
      </c>
      <c r="C520" s="10" t="str">
        <f t="shared" si="19"/>
        <v>Sat</v>
      </c>
      <c r="D520" s="19" t="str">
        <f t="shared" si="18"/>
        <v>21/02/2015</v>
      </c>
      <c r="E520" s="59">
        <v>0.625</v>
      </c>
      <c r="F520" s="47" t="s">
        <v>24</v>
      </c>
      <c r="G520" s="48" t="s">
        <v>33</v>
      </c>
      <c r="H520" s="53" t="s">
        <v>1135</v>
      </c>
      <c r="I520" s="46" t="s">
        <v>59</v>
      </c>
      <c r="J520" s="50">
        <v>78276.0</v>
      </c>
      <c r="K520" s="54" t="s">
        <v>1136</v>
      </c>
      <c r="L520" s="6" t="s">
        <v>1067</v>
      </c>
      <c r="M520" s="51" t="str">
        <f t="shared" si="16"/>
        <v>0</v>
      </c>
      <c r="N520" s="51" t="str">
        <f t="shared" si="20"/>
        <v>1</v>
      </c>
      <c r="O520" s="1" t="str">
        <f t="shared" si="3"/>
        <v>01</v>
      </c>
      <c r="P520" s="1" t="str">
        <f t="shared" si="4"/>
        <v>LOSS</v>
      </c>
    </row>
    <row r="521" ht="15.75" customHeight="1">
      <c r="A521" s="52">
        <v>25.0</v>
      </c>
      <c r="B521" s="46" t="s">
        <v>1137</v>
      </c>
      <c r="C521" s="10" t="str">
        <f t="shared" si="19"/>
        <v>Sat</v>
      </c>
      <c r="D521" s="19" t="str">
        <f t="shared" si="18"/>
        <v>28/02/2015</v>
      </c>
      <c r="E521" s="59">
        <v>0.625</v>
      </c>
      <c r="F521" s="47" t="s">
        <v>19</v>
      </c>
      <c r="G521" s="48" t="s">
        <v>33</v>
      </c>
      <c r="H521" s="53" t="s">
        <v>1138</v>
      </c>
      <c r="I521" s="46" t="s">
        <v>59</v>
      </c>
      <c r="J521" s="50">
        <v>18119.0</v>
      </c>
      <c r="K521" s="54" t="s">
        <v>1139</v>
      </c>
      <c r="L521" s="6" t="s">
        <v>1067</v>
      </c>
      <c r="M521" s="51" t="str">
        <f t="shared" si="16"/>
        <v>1</v>
      </c>
      <c r="N521" s="51" t="str">
        <f t="shared" si="20"/>
        <v>3</v>
      </c>
      <c r="O521" s="1" t="str">
        <f t="shared" si="3"/>
        <v>13</v>
      </c>
      <c r="P521" s="1" t="str">
        <f t="shared" si="4"/>
        <v>WIN</v>
      </c>
    </row>
    <row r="522" ht="15.75" customHeight="1">
      <c r="A522" s="52">
        <v>26.0</v>
      </c>
      <c r="B522" s="46" t="s">
        <v>1140</v>
      </c>
      <c r="C522" s="10" t="str">
        <f t="shared" si="19"/>
        <v>Sun</v>
      </c>
      <c r="D522" s="19" t="str">
        <f t="shared" si="18"/>
        <v>08/03/2015</v>
      </c>
      <c r="E522" s="59">
        <v>0.4583333333333333</v>
      </c>
      <c r="F522" s="47" t="s">
        <v>24</v>
      </c>
      <c r="G522" s="48" t="s">
        <v>33</v>
      </c>
      <c r="H522" s="53" t="s">
        <v>1141</v>
      </c>
      <c r="I522" s="46" t="s">
        <v>59</v>
      </c>
      <c r="J522" s="50">
        <v>87151.0</v>
      </c>
      <c r="K522" s="54" t="s">
        <v>1142</v>
      </c>
      <c r="L522" s="6" t="s">
        <v>1067</v>
      </c>
      <c r="M522" s="51" t="str">
        <f t="shared" si="16"/>
        <v>6</v>
      </c>
      <c r="N522" s="51" t="str">
        <f t="shared" si="20"/>
        <v>1</v>
      </c>
      <c r="O522" s="1" t="str">
        <f t="shared" si="3"/>
        <v>61</v>
      </c>
      <c r="P522" s="1" t="str">
        <f t="shared" si="4"/>
        <v>WIN</v>
      </c>
    </row>
    <row r="523" ht="15.75" customHeight="1">
      <c r="A523" s="52">
        <v>27.0</v>
      </c>
      <c r="B523" s="46" t="s">
        <v>1143</v>
      </c>
      <c r="C523" s="10" t="str">
        <f t="shared" si="19"/>
        <v>Sat</v>
      </c>
      <c r="D523" s="19" t="str">
        <f t="shared" si="18"/>
        <v>14/03/2015</v>
      </c>
      <c r="E523" s="59">
        <v>0.7083333333333334</v>
      </c>
      <c r="F523" s="47" t="s">
        <v>19</v>
      </c>
      <c r="G523" s="48" t="s">
        <v>30</v>
      </c>
      <c r="H523" s="53" t="s">
        <v>1144</v>
      </c>
      <c r="I523" s="46" t="s">
        <v>59</v>
      </c>
      <c r="J523" s="50">
        <v>5439.0</v>
      </c>
      <c r="K523" s="54" t="s">
        <v>1145</v>
      </c>
      <c r="L523" s="6" t="s">
        <v>1067</v>
      </c>
      <c r="M523" s="51" t="str">
        <f t="shared" si="16"/>
        <v>0</v>
      </c>
      <c r="N523" s="51" t="str">
        <f t="shared" si="20"/>
        <v>2</v>
      </c>
      <c r="O523" s="1" t="str">
        <f t="shared" si="3"/>
        <v>02</v>
      </c>
      <c r="P523" s="1" t="str">
        <f t="shared" si="4"/>
        <v>WIN</v>
      </c>
    </row>
    <row r="524" ht="15.75" customHeight="1">
      <c r="A524" s="52">
        <v>28.0</v>
      </c>
      <c r="B524" s="46" t="s">
        <v>1146</v>
      </c>
      <c r="C524" s="10" t="str">
        <f t="shared" si="19"/>
        <v>Sun</v>
      </c>
      <c r="D524" s="19" t="str">
        <f t="shared" si="18"/>
        <v>22/03/2015</v>
      </c>
      <c r="E524" s="59">
        <v>0.8333333333333334</v>
      </c>
      <c r="F524" s="47" t="s">
        <v>24</v>
      </c>
      <c r="G524" s="48" t="s">
        <v>30</v>
      </c>
      <c r="H524" s="53" t="s">
        <v>1147</v>
      </c>
      <c r="I524" s="46" t="s">
        <v>59</v>
      </c>
      <c r="J524" s="56">
        <v>98760.0</v>
      </c>
      <c r="K524" s="54" t="s">
        <v>1148</v>
      </c>
      <c r="L524" s="6" t="s">
        <v>1067</v>
      </c>
      <c r="M524" s="51" t="str">
        <f t="shared" si="16"/>
        <v>2</v>
      </c>
      <c r="N524" s="51" t="str">
        <f t="shared" si="20"/>
        <v>1</v>
      </c>
      <c r="O524" s="1" t="str">
        <f t="shared" si="3"/>
        <v>21</v>
      </c>
      <c r="P524" s="1" t="str">
        <f t="shared" si="4"/>
        <v>WIN</v>
      </c>
    </row>
    <row r="525" ht="15.75" customHeight="1">
      <c r="A525" s="52">
        <v>29.0</v>
      </c>
      <c r="B525" s="46" t="s">
        <v>1149</v>
      </c>
      <c r="C525" s="10" t="str">
        <f t="shared" si="19"/>
        <v>Sun</v>
      </c>
      <c r="D525" s="19" t="str">
        <f t="shared" si="18"/>
        <v>05/04/2015</v>
      </c>
      <c r="E525" s="59">
        <v>0.8333333333333334</v>
      </c>
      <c r="F525" s="47" t="s">
        <v>19</v>
      </c>
      <c r="G525" s="48" t="s">
        <v>30</v>
      </c>
      <c r="H525" s="53" t="s">
        <v>1150</v>
      </c>
      <c r="I525" s="46" t="s">
        <v>59</v>
      </c>
      <c r="J525" s="50">
        <v>23759.0</v>
      </c>
      <c r="K525" s="54" t="s">
        <v>1151</v>
      </c>
      <c r="L525" s="6" t="s">
        <v>1067</v>
      </c>
      <c r="M525" s="51" t="str">
        <f t="shared" si="16"/>
        <v>0</v>
      </c>
      <c r="N525" s="51" t="str">
        <f t="shared" si="20"/>
        <v>1</v>
      </c>
      <c r="O525" s="1" t="str">
        <f t="shared" si="3"/>
        <v>01</v>
      </c>
      <c r="P525" s="1" t="str">
        <f t="shared" si="4"/>
        <v>WIN</v>
      </c>
    </row>
    <row r="526" ht="15.75" customHeight="1">
      <c r="A526" s="52">
        <v>30.0</v>
      </c>
      <c r="B526" s="46" t="s">
        <v>1152</v>
      </c>
      <c r="C526" s="10" t="str">
        <f t="shared" si="19"/>
        <v>Wed</v>
      </c>
      <c r="D526" s="19" t="str">
        <f t="shared" si="18"/>
        <v>08/04/2015</v>
      </c>
      <c r="E526" s="59">
        <v>0.7916666666666666</v>
      </c>
      <c r="F526" s="47" t="s">
        <v>24</v>
      </c>
      <c r="G526" s="48" t="s">
        <v>30</v>
      </c>
      <c r="H526" s="53" t="s">
        <v>1153</v>
      </c>
      <c r="I526" s="46" t="s">
        <v>59</v>
      </c>
      <c r="J526" s="50">
        <v>73837.0</v>
      </c>
      <c r="K526" s="54" t="s">
        <v>1154</v>
      </c>
      <c r="L526" s="6" t="s">
        <v>1067</v>
      </c>
      <c r="M526" s="51" t="str">
        <f t="shared" si="16"/>
        <v>4</v>
      </c>
      <c r="N526" s="51" t="str">
        <f t="shared" si="20"/>
        <v>0</v>
      </c>
      <c r="O526" s="1" t="str">
        <f t="shared" si="3"/>
        <v>40</v>
      </c>
      <c r="P526" s="1" t="str">
        <f t="shared" si="4"/>
        <v>WIN</v>
      </c>
    </row>
    <row r="527" ht="15.75" customHeight="1">
      <c r="A527" s="52">
        <v>31.0</v>
      </c>
      <c r="B527" s="46" t="s">
        <v>1155</v>
      </c>
      <c r="C527" s="10" t="str">
        <f t="shared" si="19"/>
        <v>Sat</v>
      </c>
      <c r="D527" s="19" t="str">
        <f t="shared" si="18"/>
        <v>11/04/2015</v>
      </c>
      <c r="E527" s="59">
        <v>0.7916666666666666</v>
      </c>
      <c r="F527" s="47" t="s">
        <v>19</v>
      </c>
      <c r="G527" s="48" t="s">
        <v>30</v>
      </c>
      <c r="H527" s="53" t="s">
        <v>1156</v>
      </c>
      <c r="I527" s="46" t="s">
        <v>59</v>
      </c>
      <c r="J527" s="50">
        <v>40355.0</v>
      </c>
      <c r="K527" s="54" t="s">
        <v>1157</v>
      </c>
      <c r="L527" s="6" t="s">
        <v>1067</v>
      </c>
      <c r="M527" s="51" t="str">
        <f t="shared" si="16"/>
        <v>2</v>
      </c>
      <c r="N527" s="51" t="str">
        <f t="shared" si="20"/>
        <v>2</v>
      </c>
      <c r="O527" s="1" t="str">
        <f t="shared" si="3"/>
        <v>22</v>
      </c>
      <c r="P527" s="1" t="str">
        <f t="shared" si="4"/>
        <v>DRAW</v>
      </c>
    </row>
    <row r="528" ht="15.75" customHeight="1">
      <c r="A528" s="52">
        <v>32.0</v>
      </c>
      <c r="B528" s="46" t="s">
        <v>1158</v>
      </c>
      <c r="C528" s="10" t="str">
        <f t="shared" si="19"/>
        <v>Sat</v>
      </c>
      <c r="D528" s="19" t="str">
        <f t="shared" si="18"/>
        <v>18/04/2015</v>
      </c>
      <c r="E528" s="59">
        <v>0.625</v>
      </c>
      <c r="F528" s="47" t="s">
        <v>24</v>
      </c>
      <c r="G528" s="48" t="s">
        <v>30</v>
      </c>
      <c r="H528" s="53" t="s">
        <v>1159</v>
      </c>
      <c r="I528" s="46" t="s">
        <v>59</v>
      </c>
      <c r="J528" s="50">
        <v>92915.0</v>
      </c>
      <c r="K528" s="54" t="s">
        <v>1160</v>
      </c>
      <c r="L528" s="6" t="s">
        <v>1067</v>
      </c>
      <c r="M528" s="51" t="str">
        <f t="shared" si="16"/>
        <v>2</v>
      </c>
      <c r="N528" s="51" t="str">
        <f t="shared" si="20"/>
        <v>0</v>
      </c>
      <c r="O528" s="1" t="str">
        <f t="shared" si="3"/>
        <v>20</v>
      </c>
      <c r="P528" s="1" t="str">
        <f t="shared" si="4"/>
        <v>WIN</v>
      </c>
    </row>
    <row r="529" ht="15.75" customHeight="1">
      <c r="A529" s="52">
        <v>33.0</v>
      </c>
      <c r="B529" s="46" t="s">
        <v>1161</v>
      </c>
      <c r="C529" s="10" t="str">
        <f t="shared" si="19"/>
        <v>Sat</v>
      </c>
      <c r="D529" s="19" t="str">
        <f t="shared" si="18"/>
        <v>25/04/2015</v>
      </c>
      <c r="E529" s="59">
        <v>0.625</v>
      </c>
      <c r="F529" s="47" t="s">
        <v>19</v>
      </c>
      <c r="G529" s="48" t="s">
        <v>30</v>
      </c>
      <c r="H529" s="53" t="s">
        <v>1162</v>
      </c>
      <c r="I529" s="46" t="s">
        <v>59</v>
      </c>
      <c r="J529" s="50">
        <v>30253.0</v>
      </c>
      <c r="K529" s="54" t="s">
        <v>1163</v>
      </c>
      <c r="L529" s="6" t="s">
        <v>1067</v>
      </c>
      <c r="M529" s="51" t="str">
        <f t="shared" si="16"/>
        <v>0</v>
      </c>
      <c r="N529" s="51" t="str">
        <f t="shared" si="20"/>
        <v>2</v>
      </c>
      <c r="O529" s="1" t="str">
        <f t="shared" si="3"/>
        <v>02</v>
      </c>
      <c r="P529" s="1" t="str">
        <f t="shared" si="4"/>
        <v>WIN</v>
      </c>
    </row>
    <row r="530" ht="15.75" customHeight="1">
      <c r="A530" s="52">
        <v>34.0</v>
      </c>
      <c r="B530" s="46" t="s">
        <v>1164</v>
      </c>
      <c r="C530" s="10" t="str">
        <f t="shared" si="19"/>
        <v>Tue</v>
      </c>
      <c r="D530" s="19" t="str">
        <f t="shared" si="18"/>
        <v>28/04/2015</v>
      </c>
      <c r="E530" s="59">
        <v>0.7916666666666666</v>
      </c>
      <c r="F530" s="47" t="s">
        <v>24</v>
      </c>
      <c r="G530" s="48" t="s">
        <v>30</v>
      </c>
      <c r="H530" s="53" t="s">
        <v>1165</v>
      </c>
      <c r="I530" s="46" t="s">
        <v>59</v>
      </c>
      <c r="J530" s="50">
        <v>65356.0</v>
      </c>
      <c r="K530" s="54" t="s">
        <v>1166</v>
      </c>
      <c r="L530" s="6" t="s">
        <v>1067</v>
      </c>
      <c r="M530" s="51" t="str">
        <f t="shared" si="16"/>
        <v>6</v>
      </c>
      <c r="N530" s="51" t="str">
        <f t="shared" si="20"/>
        <v>0</v>
      </c>
      <c r="O530" s="1" t="str">
        <f t="shared" si="3"/>
        <v>60</v>
      </c>
      <c r="P530" s="1" t="str">
        <f t="shared" si="4"/>
        <v>WIN</v>
      </c>
    </row>
    <row r="531" ht="15.75" customHeight="1">
      <c r="A531" s="52">
        <v>35.0</v>
      </c>
      <c r="B531" s="46" t="s">
        <v>1167</v>
      </c>
      <c r="C531" s="10" t="str">
        <f t="shared" si="19"/>
        <v>Sat</v>
      </c>
      <c r="D531" s="19" t="str">
        <f t="shared" si="18"/>
        <v>02/05/2015</v>
      </c>
      <c r="E531" s="59">
        <v>0.625</v>
      </c>
      <c r="F531" s="47" t="s">
        <v>19</v>
      </c>
      <c r="G531" s="48" t="s">
        <v>30</v>
      </c>
      <c r="H531" s="53" t="s">
        <v>1168</v>
      </c>
      <c r="I531" s="46" t="s">
        <v>59</v>
      </c>
      <c r="J531" s="50">
        <v>13775.0</v>
      </c>
      <c r="K531" s="54" t="s">
        <v>1169</v>
      </c>
      <c r="L531" s="6" t="s">
        <v>1067</v>
      </c>
      <c r="M531" s="51" t="str">
        <f t="shared" si="16"/>
        <v>0</v>
      </c>
      <c r="N531" s="51" t="str">
        <f t="shared" si="20"/>
        <v>8</v>
      </c>
      <c r="O531" s="1" t="str">
        <f t="shared" si="3"/>
        <v>08</v>
      </c>
      <c r="P531" s="1" t="str">
        <f t="shared" si="4"/>
        <v>WIN</v>
      </c>
    </row>
    <row r="532" ht="15.75" customHeight="1">
      <c r="A532" s="52">
        <v>36.0</v>
      </c>
      <c r="B532" s="46" t="s">
        <v>1170</v>
      </c>
      <c r="C532" s="10" t="str">
        <f t="shared" si="19"/>
        <v>Sat</v>
      </c>
      <c r="D532" s="19" t="str">
        <f t="shared" si="18"/>
        <v>09/05/2015</v>
      </c>
      <c r="E532" s="59">
        <v>0.7083333333333334</v>
      </c>
      <c r="F532" s="47" t="s">
        <v>24</v>
      </c>
      <c r="G532" s="48" t="s">
        <v>30</v>
      </c>
      <c r="H532" s="53" t="s">
        <v>1171</v>
      </c>
      <c r="I532" s="46" t="s">
        <v>59</v>
      </c>
      <c r="J532" s="50">
        <v>86047.0</v>
      </c>
      <c r="K532" s="54" t="s">
        <v>1172</v>
      </c>
      <c r="L532" s="6" t="s">
        <v>1067</v>
      </c>
      <c r="M532" s="51" t="str">
        <f t="shared" si="16"/>
        <v>2</v>
      </c>
      <c r="N532" s="51" t="str">
        <f t="shared" si="20"/>
        <v>0</v>
      </c>
      <c r="O532" s="1" t="str">
        <f t="shared" si="3"/>
        <v>20</v>
      </c>
      <c r="P532" s="1" t="str">
        <f t="shared" si="4"/>
        <v>WIN</v>
      </c>
    </row>
    <row r="533" ht="15.75" customHeight="1">
      <c r="A533" s="52">
        <v>37.0</v>
      </c>
      <c r="B533" s="46" t="s">
        <v>1173</v>
      </c>
      <c r="C533" s="10" t="str">
        <f t="shared" si="19"/>
        <v>Sun</v>
      </c>
      <c r="D533" s="19" t="str">
        <f t="shared" si="18"/>
        <v>17/05/2015</v>
      </c>
      <c r="E533" s="59">
        <v>0.75</v>
      </c>
      <c r="F533" s="47" t="s">
        <v>19</v>
      </c>
      <c r="G533" s="48" t="s">
        <v>30</v>
      </c>
      <c r="H533" s="53" t="s">
        <v>1174</v>
      </c>
      <c r="I533" s="46" t="s">
        <v>59</v>
      </c>
      <c r="J533" s="50">
        <v>53254.0</v>
      </c>
      <c r="K533" s="54" t="s">
        <v>1175</v>
      </c>
      <c r="L533" s="6" t="s">
        <v>1067</v>
      </c>
      <c r="M533" s="51" t="str">
        <f t="shared" si="16"/>
        <v>0</v>
      </c>
      <c r="N533" s="51" t="str">
        <f t="shared" si="20"/>
        <v>1</v>
      </c>
      <c r="O533" s="1" t="str">
        <f t="shared" si="3"/>
        <v>01</v>
      </c>
      <c r="P533" s="1" t="str">
        <f t="shared" si="4"/>
        <v>WIN</v>
      </c>
    </row>
    <row r="534" ht="15.75" customHeight="1">
      <c r="A534" s="52">
        <v>38.0</v>
      </c>
      <c r="B534" s="46" t="s">
        <v>1176</v>
      </c>
      <c r="C534" s="10" t="str">
        <f t="shared" si="19"/>
        <v>Sat</v>
      </c>
      <c r="D534" s="19" t="str">
        <f t="shared" si="18"/>
        <v>23/05/2015</v>
      </c>
      <c r="E534" s="59">
        <v>0.7291666666666666</v>
      </c>
      <c r="F534" s="47" t="s">
        <v>24</v>
      </c>
      <c r="G534" s="48" t="s">
        <v>30</v>
      </c>
      <c r="H534" s="53" t="s">
        <v>1177</v>
      </c>
      <c r="I534" s="46" t="s">
        <v>59</v>
      </c>
      <c r="J534" s="50">
        <v>93743.0</v>
      </c>
      <c r="K534" s="54" t="s">
        <v>1178</v>
      </c>
      <c r="L534" s="6" t="s">
        <v>1067</v>
      </c>
      <c r="M534" s="51" t="str">
        <f t="shared" si="16"/>
        <v>2</v>
      </c>
      <c r="N534" s="51" t="str">
        <f t="shared" si="20"/>
        <v>2</v>
      </c>
      <c r="O534" s="1" t="str">
        <f t="shared" si="3"/>
        <v>22</v>
      </c>
      <c r="P534" s="1" t="str">
        <f t="shared" si="4"/>
        <v>DRAW</v>
      </c>
    </row>
    <row r="535" ht="15.75" customHeight="1">
      <c r="A535" s="58" t="s">
        <v>485</v>
      </c>
      <c r="B535" s="46" t="s">
        <v>1179</v>
      </c>
      <c r="C535" s="10" t="str">
        <f t="shared" si="19"/>
        <v>Wed</v>
      </c>
      <c r="D535" s="19" t="str">
        <f t="shared" si="18"/>
        <v>17/09/2014</v>
      </c>
      <c r="E535" s="59">
        <v>0.8229166666666666</v>
      </c>
      <c r="F535" s="47" t="s">
        <v>24</v>
      </c>
      <c r="H535" s="53" t="s">
        <v>1180</v>
      </c>
      <c r="I535" s="46" t="s">
        <v>59</v>
      </c>
      <c r="J535" s="50">
        <v>62832.0</v>
      </c>
      <c r="K535" s="54" t="s">
        <v>1181</v>
      </c>
      <c r="L535" s="6" t="s">
        <v>1067</v>
      </c>
      <c r="M535" s="51" t="str">
        <f t="shared" si="16"/>
        <v>1</v>
      </c>
      <c r="N535" s="51" t="str">
        <f t="shared" si="20"/>
        <v>0</v>
      </c>
      <c r="O535" s="1" t="str">
        <f t="shared" si="3"/>
        <v>10</v>
      </c>
      <c r="P535" s="1" t="str">
        <f t="shared" si="4"/>
        <v>WIN</v>
      </c>
    </row>
    <row r="536" ht="15.75" customHeight="1">
      <c r="A536" s="58" t="s">
        <v>485</v>
      </c>
      <c r="B536" s="46" t="s">
        <v>1182</v>
      </c>
      <c r="C536" s="10" t="str">
        <f t="shared" si="19"/>
        <v>Tue</v>
      </c>
      <c r="D536" s="19" t="str">
        <f t="shared" si="18"/>
        <v>30/09/2014</v>
      </c>
      <c r="E536" s="59">
        <v>0.8229166666666666</v>
      </c>
      <c r="F536" s="47" t="s">
        <v>19</v>
      </c>
      <c r="H536" s="53" t="s">
        <v>1183</v>
      </c>
      <c r="I536" s="46" t="s">
        <v>59</v>
      </c>
      <c r="J536" s="50">
        <v>46400.0</v>
      </c>
      <c r="K536" s="54" t="s">
        <v>1184</v>
      </c>
      <c r="L536" s="6" t="s">
        <v>1067</v>
      </c>
      <c r="M536" s="51" t="str">
        <f t="shared" si="16"/>
        <v>3</v>
      </c>
      <c r="N536" s="51" t="str">
        <f t="shared" si="20"/>
        <v>2</v>
      </c>
      <c r="O536" s="1" t="str">
        <f t="shared" si="3"/>
        <v>32</v>
      </c>
      <c r="P536" s="1" t="str">
        <f t="shared" si="4"/>
        <v>LOSS</v>
      </c>
    </row>
    <row r="537" ht="15.75" customHeight="1">
      <c r="A537" s="58" t="s">
        <v>485</v>
      </c>
      <c r="B537" s="46" t="s">
        <v>1185</v>
      </c>
      <c r="C537" s="10" t="str">
        <f t="shared" si="19"/>
        <v>Tue</v>
      </c>
      <c r="D537" s="19" t="str">
        <f t="shared" si="18"/>
        <v>21/10/2014</v>
      </c>
      <c r="E537" s="59">
        <v>0.8229166666666666</v>
      </c>
      <c r="F537" s="47" t="s">
        <v>24</v>
      </c>
      <c r="H537" s="53" t="s">
        <v>1186</v>
      </c>
      <c r="I537" s="46" t="s">
        <v>59</v>
      </c>
      <c r="J537" s="50">
        <v>79357.0</v>
      </c>
      <c r="K537" s="54" t="s">
        <v>1187</v>
      </c>
      <c r="L537" s="6" t="s">
        <v>1067</v>
      </c>
      <c r="M537" s="51" t="str">
        <f t="shared" si="16"/>
        <v>3</v>
      </c>
      <c r="N537" s="51" t="str">
        <f t="shared" si="20"/>
        <v>1</v>
      </c>
      <c r="O537" s="1" t="str">
        <f t="shared" si="3"/>
        <v>31</v>
      </c>
      <c r="P537" s="1" t="str">
        <f t="shared" si="4"/>
        <v>WIN</v>
      </c>
    </row>
    <row r="538" ht="15.75" customHeight="1">
      <c r="A538" s="58" t="s">
        <v>485</v>
      </c>
      <c r="B538" s="46" t="s">
        <v>1188</v>
      </c>
      <c r="C538" s="10" t="str">
        <f t="shared" si="19"/>
        <v>Wed</v>
      </c>
      <c r="D538" s="19" t="str">
        <f t="shared" si="18"/>
        <v>05/11/2014</v>
      </c>
      <c r="E538" s="59">
        <v>0.8229166666666666</v>
      </c>
      <c r="F538" s="47" t="s">
        <v>19</v>
      </c>
      <c r="H538" s="53" t="s">
        <v>1189</v>
      </c>
      <c r="I538" s="46" t="s">
        <v>59</v>
      </c>
      <c r="J538" s="50">
        <v>52117.0</v>
      </c>
      <c r="K538" s="54" t="s">
        <v>1190</v>
      </c>
      <c r="L538" s="6" t="s">
        <v>1067</v>
      </c>
      <c r="M538" s="51" t="str">
        <f t="shared" si="16"/>
        <v>0</v>
      </c>
      <c r="N538" s="51" t="str">
        <f t="shared" si="20"/>
        <v>2</v>
      </c>
      <c r="O538" s="1" t="str">
        <f t="shared" si="3"/>
        <v>02</v>
      </c>
      <c r="P538" s="1" t="str">
        <f t="shared" si="4"/>
        <v>WIN</v>
      </c>
    </row>
    <row r="539" ht="15.75" customHeight="1">
      <c r="A539" s="58" t="s">
        <v>485</v>
      </c>
      <c r="B539" s="46" t="s">
        <v>1191</v>
      </c>
      <c r="C539" s="10" t="str">
        <f t="shared" si="19"/>
        <v>Tue</v>
      </c>
      <c r="D539" s="19" t="str">
        <f t="shared" si="18"/>
        <v>25/11/2014</v>
      </c>
      <c r="E539" s="59">
        <v>0.8229166666666666</v>
      </c>
      <c r="F539" s="47" t="s">
        <v>19</v>
      </c>
      <c r="H539" s="53" t="s">
        <v>1192</v>
      </c>
      <c r="I539" s="46" t="s">
        <v>59</v>
      </c>
      <c r="J539" s="50">
        <v>20626.0</v>
      </c>
      <c r="K539" s="54" t="s">
        <v>1193</v>
      </c>
      <c r="L539" s="6" t="s">
        <v>1067</v>
      </c>
      <c r="M539" s="51" t="str">
        <f t="shared" si="16"/>
        <v>0</v>
      </c>
      <c r="N539" s="51" t="str">
        <f t="shared" si="20"/>
        <v>4</v>
      </c>
      <c r="O539" s="1" t="str">
        <f t="shared" si="3"/>
        <v>04</v>
      </c>
      <c r="P539" s="1" t="str">
        <f t="shared" si="4"/>
        <v>WIN</v>
      </c>
    </row>
    <row r="540" ht="15.75" customHeight="1">
      <c r="A540" s="58" t="s">
        <v>485</v>
      </c>
      <c r="B540" s="46" t="s">
        <v>1194</v>
      </c>
      <c r="C540" s="10" t="str">
        <f t="shared" si="19"/>
        <v>Wed</v>
      </c>
      <c r="D540" s="19" t="str">
        <f t="shared" si="18"/>
        <v>10/12/2014</v>
      </c>
      <c r="E540" s="59">
        <v>0.8229166666666666</v>
      </c>
      <c r="F540" s="47" t="s">
        <v>24</v>
      </c>
      <c r="H540" s="53" t="s">
        <v>1195</v>
      </c>
      <c r="I540" s="46" t="s">
        <v>21</v>
      </c>
      <c r="J540" s="50">
        <v>82570.0</v>
      </c>
      <c r="K540" s="54" t="s">
        <v>1196</v>
      </c>
      <c r="L540" s="6" t="s">
        <v>1067</v>
      </c>
      <c r="M540" s="51" t="str">
        <f t="shared" si="16"/>
        <v>3</v>
      </c>
      <c r="N540" s="51" t="str">
        <f t="shared" si="20"/>
        <v>1</v>
      </c>
      <c r="O540" s="1" t="str">
        <f t="shared" si="3"/>
        <v>31</v>
      </c>
      <c r="P540" s="1" t="str">
        <f t="shared" si="4"/>
        <v>WIN</v>
      </c>
    </row>
    <row r="541" ht="15.75" customHeight="1">
      <c r="A541" s="58" t="s">
        <v>143</v>
      </c>
      <c r="B541" s="46" t="s">
        <v>1197</v>
      </c>
      <c r="C541" s="10" t="str">
        <f t="shared" si="19"/>
        <v>Tue</v>
      </c>
      <c r="D541" s="19" t="str">
        <f t="shared" si="18"/>
        <v>24/02/2015</v>
      </c>
      <c r="E541" s="59">
        <v>0.8229166666666666</v>
      </c>
      <c r="F541" s="47" t="s">
        <v>19</v>
      </c>
      <c r="H541" s="53" t="s">
        <v>1198</v>
      </c>
      <c r="I541" s="46" t="s">
        <v>59</v>
      </c>
      <c r="J541" s="50">
        <v>45081.0</v>
      </c>
      <c r="K541" s="54" t="s">
        <v>1199</v>
      </c>
      <c r="L541" s="6" t="s">
        <v>1067</v>
      </c>
      <c r="M541" s="51" t="str">
        <f t="shared" si="16"/>
        <v>1</v>
      </c>
      <c r="N541" s="51" t="str">
        <f t="shared" si="20"/>
        <v>2</v>
      </c>
      <c r="O541" s="1" t="str">
        <f t="shared" si="3"/>
        <v>12</v>
      </c>
      <c r="P541" s="1" t="str">
        <f t="shared" si="4"/>
        <v>WIN</v>
      </c>
    </row>
    <row r="542" ht="15.75" customHeight="1">
      <c r="A542" s="58" t="s">
        <v>145</v>
      </c>
      <c r="B542" s="46" t="s">
        <v>1200</v>
      </c>
      <c r="C542" s="10" t="str">
        <f t="shared" si="19"/>
        <v>Wed</v>
      </c>
      <c r="D542" s="19" t="str">
        <f t="shared" si="18"/>
        <v>18/03/2015</v>
      </c>
      <c r="E542" s="59">
        <v>0.8229166666666666</v>
      </c>
      <c r="F542" s="47" t="s">
        <v>24</v>
      </c>
      <c r="H542" s="53" t="s">
        <v>1201</v>
      </c>
      <c r="I542" s="46" t="s">
        <v>59</v>
      </c>
      <c r="J542" s="56">
        <v>92551.0</v>
      </c>
      <c r="K542" s="54" t="s">
        <v>1202</v>
      </c>
      <c r="L542" s="6" t="s">
        <v>1067</v>
      </c>
      <c r="M542" s="51" t="str">
        <f t="shared" si="16"/>
        <v>1</v>
      </c>
      <c r="N542" s="51" t="str">
        <f t="shared" si="20"/>
        <v>0</v>
      </c>
      <c r="O542" s="1" t="str">
        <f t="shared" si="3"/>
        <v>10</v>
      </c>
      <c r="P542" s="1" t="str">
        <f t="shared" si="4"/>
        <v>WIN</v>
      </c>
    </row>
    <row r="543" ht="15.75" customHeight="1">
      <c r="A543" s="58" t="s">
        <v>147</v>
      </c>
      <c r="B543" s="46" t="s">
        <v>1203</v>
      </c>
      <c r="C543" s="10" t="str">
        <f t="shared" si="19"/>
        <v>Wed</v>
      </c>
      <c r="D543" s="19" t="str">
        <f t="shared" si="18"/>
        <v>15/04/2015</v>
      </c>
      <c r="E543" s="59">
        <v>0.8229166666666666</v>
      </c>
      <c r="F543" s="47" t="s">
        <v>19</v>
      </c>
      <c r="H543" s="53" t="s">
        <v>1204</v>
      </c>
      <c r="I543" s="46" t="s">
        <v>59</v>
      </c>
      <c r="J543" s="56">
        <v>45893.0</v>
      </c>
      <c r="K543" s="54" t="s">
        <v>1205</v>
      </c>
      <c r="L543" s="6" t="s">
        <v>1067</v>
      </c>
      <c r="M543" s="51" t="str">
        <f t="shared" si="16"/>
        <v>1</v>
      </c>
      <c r="N543" s="51" t="str">
        <f t="shared" si="20"/>
        <v>3</v>
      </c>
      <c r="O543" s="1" t="str">
        <f t="shared" si="3"/>
        <v>13</v>
      </c>
      <c r="P543" s="1" t="str">
        <f t="shared" si="4"/>
        <v>WIN</v>
      </c>
    </row>
    <row r="544" ht="15.75" customHeight="1">
      <c r="A544" s="58" t="s">
        <v>149</v>
      </c>
      <c r="B544" s="46" t="s">
        <v>1206</v>
      </c>
      <c r="C544" s="10" t="str">
        <f t="shared" si="19"/>
        <v>Tue</v>
      </c>
      <c r="D544" s="19" t="str">
        <f t="shared" si="18"/>
        <v>21/04/2015</v>
      </c>
      <c r="E544" s="59">
        <v>0.8229166666666666</v>
      </c>
      <c r="F544" s="47" t="s">
        <v>24</v>
      </c>
      <c r="H544" s="53" t="s">
        <v>1207</v>
      </c>
      <c r="I544" s="46" t="s">
        <v>59</v>
      </c>
      <c r="J544" s="50">
        <v>84477.0</v>
      </c>
      <c r="K544" s="54" t="s">
        <v>1208</v>
      </c>
      <c r="L544" s="6" t="s">
        <v>1067</v>
      </c>
      <c r="M544" s="51" t="str">
        <f t="shared" si="16"/>
        <v>2</v>
      </c>
      <c r="N544" s="51" t="str">
        <f t="shared" si="20"/>
        <v>0</v>
      </c>
      <c r="O544" s="1" t="str">
        <f t="shared" si="3"/>
        <v>20</v>
      </c>
      <c r="P544" s="1" t="str">
        <f t="shared" si="4"/>
        <v>WIN</v>
      </c>
    </row>
    <row r="545" ht="15.75" customHeight="1">
      <c r="A545" s="58" t="s">
        <v>151</v>
      </c>
      <c r="B545" s="46" t="s">
        <v>1209</v>
      </c>
      <c r="C545" s="10" t="str">
        <f t="shared" si="19"/>
        <v>Wed</v>
      </c>
      <c r="D545" s="19" t="str">
        <f t="shared" si="18"/>
        <v>06/05/2015</v>
      </c>
      <c r="E545" s="59">
        <v>0.8229166666666666</v>
      </c>
      <c r="F545" s="47" t="s">
        <v>24</v>
      </c>
      <c r="H545" s="53" t="s">
        <v>1210</v>
      </c>
      <c r="I545" s="46" t="s">
        <v>59</v>
      </c>
      <c r="J545" s="56">
        <v>95639.0</v>
      </c>
      <c r="K545" s="54" t="s">
        <v>1211</v>
      </c>
      <c r="L545" s="6" t="s">
        <v>1067</v>
      </c>
      <c r="M545" s="51" t="str">
        <f t="shared" si="16"/>
        <v>3</v>
      </c>
      <c r="N545" s="51" t="str">
        <f t="shared" si="20"/>
        <v>0</v>
      </c>
      <c r="O545" s="1" t="str">
        <f t="shared" si="3"/>
        <v>30</v>
      </c>
      <c r="P545" s="1" t="str">
        <f t="shared" si="4"/>
        <v>WIN</v>
      </c>
    </row>
    <row r="546" ht="15.75" customHeight="1">
      <c r="A546" s="58" t="s">
        <v>154</v>
      </c>
      <c r="B546" s="46" t="s">
        <v>1212</v>
      </c>
      <c r="C546" s="10" t="str">
        <f t="shared" si="19"/>
        <v>Tue</v>
      </c>
      <c r="D546" s="19" t="str">
        <f t="shared" si="18"/>
        <v>12/05/2015</v>
      </c>
      <c r="E546" s="59">
        <v>0.8229166666666666</v>
      </c>
      <c r="F546" s="47" t="s">
        <v>19</v>
      </c>
      <c r="H546" s="53" t="s">
        <v>1213</v>
      </c>
      <c r="I546" s="46" t="s">
        <v>59</v>
      </c>
      <c r="J546" s="56">
        <v>70000.0</v>
      </c>
      <c r="K546" s="54" t="s">
        <v>1214</v>
      </c>
      <c r="L546" s="6" t="s">
        <v>1067</v>
      </c>
      <c r="M546" s="51" t="str">
        <f t="shared" si="16"/>
        <v>3</v>
      </c>
      <c r="N546" s="51" t="str">
        <f t="shared" si="20"/>
        <v>2</v>
      </c>
      <c r="O546" s="1" t="str">
        <f t="shared" si="3"/>
        <v>32</v>
      </c>
      <c r="P546" s="1" t="str">
        <f t="shared" si="4"/>
        <v>LOSS</v>
      </c>
    </row>
    <row r="547" ht="15.75" customHeight="1">
      <c r="A547" s="58" t="s">
        <v>169</v>
      </c>
      <c r="B547" s="46" t="s">
        <v>1215</v>
      </c>
      <c r="C547" s="10" t="str">
        <f t="shared" si="19"/>
        <v>Sat</v>
      </c>
      <c r="D547" s="19" t="str">
        <f t="shared" si="18"/>
        <v>06/06/2015</v>
      </c>
      <c r="E547" s="59">
        <v>0.8229166666666666</v>
      </c>
      <c r="F547" s="47" t="s">
        <v>19</v>
      </c>
      <c r="H547" s="53" t="s">
        <v>1216</v>
      </c>
      <c r="I547" s="46" t="s">
        <v>59</v>
      </c>
      <c r="J547" s="50">
        <v>70442.0</v>
      </c>
      <c r="K547" s="54" t="s">
        <v>1217</v>
      </c>
      <c r="L547" s="6" t="s">
        <v>1067</v>
      </c>
      <c r="M547" s="51" t="str">
        <f t="shared" si="16"/>
        <v>1</v>
      </c>
      <c r="N547" s="51" t="str">
        <f t="shared" si="20"/>
        <v>3</v>
      </c>
      <c r="O547" s="1" t="str">
        <f t="shared" si="3"/>
        <v>13</v>
      </c>
      <c r="P547" s="1" t="str">
        <f t="shared" si="4"/>
        <v>WIN</v>
      </c>
    </row>
    <row r="548" ht="15.75" customHeight="1">
      <c r="A548" s="58" t="s">
        <v>1035</v>
      </c>
      <c r="B548" s="46" t="s">
        <v>1218</v>
      </c>
      <c r="C548" s="10" t="str">
        <f t="shared" si="19"/>
        <v>Wed</v>
      </c>
      <c r="D548" s="19" t="str">
        <f t="shared" si="18"/>
        <v>03/12/2014</v>
      </c>
      <c r="E548" s="59">
        <v>0.875</v>
      </c>
      <c r="F548" s="47" t="s">
        <v>19</v>
      </c>
      <c r="H548" s="53" t="s">
        <v>1219</v>
      </c>
      <c r="I548" s="46" t="s">
        <v>59</v>
      </c>
      <c r="J548" s="50">
        <v>4800.0</v>
      </c>
      <c r="K548" s="54" t="s">
        <v>1220</v>
      </c>
      <c r="L548" s="6" t="s">
        <v>1067</v>
      </c>
      <c r="M548" s="51" t="str">
        <f t="shared" si="16"/>
        <v>0</v>
      </c>
      <c r="N548" s="51" t="str">
        <f t="shared" si="20"/>
        <v>4</v>
      </c>
      <c r="O548" s="1" t="str">
        <f t="shared" si="3"/>
        <v>04</v>
      </c>
      <c r="P548" s="1" t="str">
        <f t="shared" si="4"/>
        <v>WIN</v>
      </c>
    </row>
    <row r="549" ht="15.75" customHeight="1">
      <c r="A549" s="58" t="s">
        <v>1039</v>
      </c>
      <c r="B549" s="46" t="s">
        <v>1221</v>
      </c>
      <c r="C549" s="10" t="str">
        <f t="shared" si="19"/>
        <v>Tue</v>
      </c>
      <c r="D549" s="19" t="str">
        <f t="shared" si="18"/>
        <v>16/12/2014</v>
      </c>
      <c r="E549" s="59">
        <v>0.875</v>
      </c>
      <c r="F549" s="47" t="s">
        <v>24</v>
      </c>
      <c r="H549" s="53" t="s">
        <v>1222</v>
      </c>
      <c r="I549" s="46" t="s">
        <v>59</v>
      </c>
      <c r="J549" s="50">
        <v>44884.0</v>
      </c>
      <c r="K549" s="54" t="s">
        <v>1223</v>
      </c>
      <c r="L549" s="6" t="s">
        <v>1067</v>
      </c>
      <c r="M549" s="51" t="str">
        <f t="shared" si="16"/>
        <v>8</v>
      </c>
      <c r="N549" s="51" t="str">
        <f t="shared" si="20"/>
        <v>1</v>
      </c>
      <c r="O549" s="1" t="str">
        <f t="shared" si="3"/>
        <v>81</v>
      </c>
      <c r="P549" s="1" t="str">
        <f t="shared" si="4"/>
        <v>WIN</v>
      </c>
    </row>
    <row r="550" ht="15.75" customHeight="1">
      <c r="A550" s="58" t="s">
        <v>143</v>
      </c>
      <c r="B550" s="46" t="s">
        <v>1224</v>
      </c>
      <c r="C550" s="10" t="str">
        <f t="shared" si="19"/>
        <v>Thu</v>
      </c>
      <c r="D550" s="19" t="str">
        <f t="shared" si="18"/>
        <v>08/01/2015</v>
      </c>
      <c r="E550" s="59">
        <v>0.875</v>
      </c>
      <c r="F550" s="47" t="s">
        <v>24</v>
      </c>
      <c r="H550" s="53" t="s">
        <v>1225</v>
      </c>
      <c r="I550" s="46" t="s">
        <v>59</v>
      </c>
      <c r="J550" s="50">
        <v>27099.0</v>
      </c>
      <c r="K550" s="54" t="s">
        <v>1226</v>
      </c>
      <c r="L550" s="6" t="s">
        <v>1067</v>
      </c>
      <c r="M550" s="51" t="str">
        <f t="shared" si="16"/>
        <v>5</v>
      </c>
      <c r="N550" s="51" t="str">
        <f t="shared" si="20"/>
        <v>0</v>
      </c>
      <c r="O550" s="1" t="str">
        <f t="shared" si="3"/>
        <v>50</v>
      </c>
      <c r="P550" s="1" t="str">
        <f t="shared" si="4"/>
        <v>WIN</v>
      </c>
    </row>
    <row r="551" ht="15.75" customHeight="1">
      <c r="A551" s="58" t="s">
        <v>145</v>
      </c>
      <c r="B551" s="46" t="s">
        <v>1227</v>
      </c>
      <c r="C551" s="10" t="str">
        <f t="shared" si="19"/>
        <v>Thu</v>
      </c>
      <c r="D551" s="19" t="str">
        <f t="shared" si="18"/>
        <v>15/01/2015</v>
      </c>
      <c r="E551" s="59">
        <v>0.875</v>
      </c>
      <c r="F551" s="47" t="s">
        <v>19</v>
      </c>
      <c r="H551" s="53" t="s">
        <v>1228</v>
      </c>
      <c r="I551" s="46" t="s">
        <v>59</v>
      </c>
      <c r="J551" s="50">
        <v>13446.0</v>
      </c>
      <c r="K551" s="54" t="s">
        <v>1229</v>
      </c>
      <c r="L551" s="6" t="s">
        <v>1067</v>
      </c>
      <c r="M551" s="51" t="str">
        <f t="shared" si="16"/>
        <v>0</v>
      </c>
      <c r="N551" s="51" t="str">
        <f t="shared" si="20"/>
        <v>4</v>
      </c>
      <c r="O551" s="1" t="str">
        <f t="shared" si="3"/>
        <v>04</v>
      </c>
      <c r="P551" s="1" t="str">
        <f t="shared" si="4"/>
        <v>WIN</v>
      </c>
    </row>
    <row r="552" ht="15.75" customHeight="1">
      <c r="A552" s="58" t="s">
        <v>147</v>
      </c>
      <c r="B552" s="46" t="s">
        <v>1230</v>
      </c>
      <c r="C552" s="10" t="str">
        <f t="shared" si="19"/>
        <v>Wed</v>
      </c>
      <c r="D552" s="19" t="str">
        <f t="shared" si="18"/>
        <v>21/01/2015</v>
      </c>
      <c r="E552" s="59">
        <v>0.875</v>
      </c>
      <c r="F552" s="47" t="s">
        <v>24</v>
      </c>
      <c r="H552" s="53" t="s">
        <v>1231</v>
      </c>
      <c r="I552" s="46" t="s">
        <v>59</v>
      </c>
      <c r="J552" s="50">
        <v>62225.0</v>
      </c>
      <c r="K552" s="54" t="s">
        <v>1232</v>
      </c>
      <c r="L552" s="6" t="s">
        <v>1067</v>
      </c>
      <c r="M552" s="51" t="str">
        <f t="shared" si="16"/>
        <v>1</v>
      </c>
      <c r="N552" s="51" t="str">
        <f t="shared" si="20"/>
        <v>0</v>
      </c>
      <c r="O552" s="1" t="str">
        <f t="shared" si="3"/>
        <v>10</v>
      </c>
      <c r="P552" s="1" t="str">
        <f t="shared" si="4"/>
        <v>WIN</v>
      </c>
    </row>
    <row r="553" ht="15.75" customHeight="1">
      <c r="A553" s="58" t="s">
        <v>149</v>
      </c>
      <c r="B553" s="46" t="s">
        <v>1233</v>
      </c>
      <c r="C553" s="10" t="str">
        <f t="shared" si="19"/>
        <v>Wed</v>
      </c>
      <c r="D553" s="19" t="str">
        <f t="shared" si="18"/>
        <v>28/01/2015</v>
      </c>
      <c r="E553" s="59">
        <v>0.8333333333333334</v>
      </c>
      <c r="F553" s="47" t="s">
        <v>19</v>
      </c>
      <c r="H553" s="53" t="s">
        <v>1234</v>
      </c>
      <c r="I553" s="46" t="s">
        <v>59</v>
      </c>
      <c r="J553" s="50">
        <v>53800.0</v>
      </c>
      <c r="K553" s="54" t="s">
        <v>1235</v>
      </c>
      <c r="L553" s="6" t="s">
        <v>1067</v>
      </c>
      <c r="M553" s="51" t="str">
        <f t="shared" si="16"/>
        <v>2</v>
      </c>
      <c r="N553" s="51" t="str">
        <f t="shared" si="20"/>
        <v>3</v>
      </c>
      <c r="O553" s="1" t="str">
        <f t="shared" si="3"/>
        <v>23</v>
      </c>
      <c r="P553" s="1" t="str">
        <f t="shared" si="4"/>
        <v>WIN</v>
      </c>
    </row>
    <row r="554" ht="15.75" customHeight="1">
      <c r="A554" s="58" t="s">
        <v>151</v>
      </c>
      <c r="B554" s="46" t="s">
        <v>1236</v>
      </c>
      <c r="C554" s="10" t="str">
        <f t="shared" si="19"/>
        <v>Wed</v>
      </c>
      <c r="D554" s="19" t="str">
        <f t="shared" si="18"/>
        <v>11/02/2015</v>
      </c>
      <c r="E554" s="59">
        <v>0.7916666666666666</v>
      </c>
      <c r="F554" s="47" t="s">
        <v>24</v>
      </c>
      <c r="H554" s="53" t="s">
        <v>1237</v>
      </c>
      <c r="I554" s="46" t="s">
        <v>59</v>
      </c>
      <c r="J554" s="50">
        <v>57000.0</v>
      </c>
      <c r="K554" s="54" t="s">
        <v>1238</v>
      </c>
      <c r="L554" s="6" t="s">
        <v>1067</v>
      </c>
      <c r="M554" s="51" t="str">
        <f t="shared" si="16"/>
        <v>3</v>
      </c>
      <c r="N554" s="51" t="str">
        <f t="shared" si="20"/>
        <v>1</v>
      </c>
      <c r="O554" s="1" t="str">
        <f t="shared" si="3"/>
        <v>31</v>
      </c>
      <c r="P554" s="1" t="str">
        <f t="shared" si="4"/>
        <v>WIN</v>
      </c>
    </row>
    <row r="555" ht="15.75" customHeight="1">
      <c r="A555" s="58" t="s">
        <v>154</v>
      </c>
      <c r="B555" s="46" t="s">
        <v>1239</v>
      </c>
      <c r="C555" s="10" t="str">
        <f t="shared" si="19"/>
        <v>Wed</v>
      </c>
      <c r="D555" s="19" t="str">
        <f t="shared" si="18"/>
        <v>04/03/2015</v>
      </c>
      <c r="E555" s="59">
        <v>0.7916666666666666</v>
      </c>
      <c r="F555" s="47" t="s">
        <v>19</v>
      </c>
      <c r="H555" s="53" t="s">
        <v>1240</v>
      </c>
      <c r="I555" s="46" t="s">
        <v>59</v>
      </c>
      <c r="J555" s="50">
        <v>23600.0</v>
      </c>
      <c r="K555" s="54" t="s">
        <v>1241</v>
      </c>
      <c r="L555" s="6" t="s">
        <v>1067</v>
      </c>
      <c r="M555" s="51" t="str">
        <f t="shared" si="16"/>
        <v>1</v>
      </c>
      <c r="N555" s="51" t="str">
        <f t="shared" si="20"/>
        <v>3</v>
      </c>
      <c r="O555" s="1" t="str">
        <f t="shared" si="3"/>
        <v>13</v>
      </c>
      <c r="P555" s="1" t="str">
        <f t="shared" si="4"/>
        <v>WIN</v>
      </c>
    </row>
    <row r="556" ht="15.75" customHeight="1">
      <c r="A556" s="58" t="s">
        <v>169</v>
      </c>
      <c r="B556" s="46" t="s">
        <v>1242</v>
      </c>
      <c r="C556" s="10" t="str">
        <f t="shared" si="19"/>
        <v>Sat</v>
      </c>
      <c r="D556" s="19" t="str">
        <f t="shared" si="18"/>
        <v>30/05/2015</v>
      </c>
      <c r="E556" s="59">
        <v>0.8541666666666666</v>
      </c>
      <c r="F556" s="47" t="s">
        <v>24</v>
      </c>
      <c r="H556" s="53" t="s">
        <v>1243</v>
      </c>
      <c r="I556" s="46" t="s">
        <v>59</v>
      </c>
      <c r="J556" s="56">
        <v>99354.0</v>
      </c>
      <c r="K556" s="54" t="s">
        <v>1244</v>
      </c>
      <c r="L556" s="6" t="s">
        <v>1067</v>
      </c>
      <c r="M556" s="61">
        <v>3.0</v>
      </c>
      <c r="N556" s="61">
        <v>1.0</v>
      </c>
      <c r="O556" s="1" t="str">
        <f t="shared" si="3"/>
        <v>31</v>
      </c>
      <c r="P556" s="1" t="str">
        <f t="shared" si="4"/>
        <v>WIN</v>
      </c>
    </row>
    <row r="557" ht="15.75" customHeight="1">
      <c r="B557" s="9"/>
      <c r="C557" s="10"/>
      <c r="D557" s="9"/>
      <c r="E557" s="62"/>
      <c r="F557" s="5"/>
    </row>
    <row r="558" ht="15.75" customHeight="1">
      <c r="B558" s="9"/>
      <c r="C558" s="10"/>
      <c r="D558" s="9"/>
      <c r="E558" s="62"/>
      <c r="F558" s="5"/>
    </row>
    <row r="559" ht="15.75" customHeight="1">
      <c r="B559" s="9"/>
      <c r="C559" s="10"/>
      <c r="D559" s="9"/>
      <c r="E559" s="62"/>
      <c r="F559" s="5"/>
    </row>
    <row r="560" ht="15.75" customHeight="1">
      <c r="B560" s="9"/>
      <c r="C560" s="10"/>
      <c r="D560" s="9"/>
      <c r="E560" s="62"/>
      <c r="F560" s="5"/>
    </row>
    <row r="561" ht="15.75" customHeight="1">
      <c r="B561" s="9"/>
      <c r="C561" s="10"/>
      <c r="D561" s="9"/>
      <c r="E561" s="62"/>
      <c r="F561" s="5"/>
    </row>
    <row r="562" ht="15.75" customHeight="1">
      <c r="B562" s="9"/>
      <c r="C562" s="10"/>
      <c r="D562" s="9"/>
      <c r="E562" s="62"/>
      <c r="F562" s="5"/>
    </row>
    <row r="563" ht="15.75" customHeight="1">
      <c r="B563" s="9"/>
      <c r="C563" s="10"/>
      <c r="D563" s="9"/>
      <c r="E563" s="62"/>
      <c r="F563" s="5"/>
    </row>
    <row r="564" ht="15.75" customHeight="1">
      <c r="B564" s="9"/>
      <c r="C564" s="10"/>
      <c r="D564" s="9"/>
      <c r="E564" s="62"/>
      <c r="F564" s="5"/>
    </row>
    <row r="565" ht="15.75" customHeight="1">
      <c r="B565" s="9"/>
      <c r="C565" s="10"/>
      <c r="D565" s="9"/>
      <c r="E565" s="62"/>
      <c r="F565" s="5"/>
    </row>
    <row r="566" ht="15.75" customHeight="1">
      <c r="B566" s="9"/>
      <c r="C566" s="10"/>
      <c r="D566" s="9"/>
      <c r="E566" s="62"/>
      <c r="F566" s="5"/>
    </row>
    <row r="567" ht="15.75" customHeight="1">
      <c r="B567" s="9"/>
      <c r="C567" s="10"/>
      <c r="D567" s="9"/>
      <c r="E567" s="62"/>
      <c r="F567" s="5"/>
    </row>
    <row r="568" ht="15.75" customHeight="1">
      <c r="B568" s="9"/>
      <c r="C568" s="10"/>
      <c r="D568" s="9"/>
      <c r="E568" s="62"/>
      <c r="F568" s="5"/>
    </row>
    <row r="569" ht="15.75" customHeight="1">
      <c r="B569" s="9"/>
      <c r="C569" s="10"/>
      <c r="D569" s="9"/>
      <c r="E569" s="62"/>
      <c r="F569" s="5"/>
    </row>
    <row r="570" ht="15.75" customHeight="1">
      <c r="B570" s="9"/>
      <c r="C570" s="10"/>
      <c r="D570" s="9"/>
      <c r="E570" s="62"/>
      <c r="F570" s="5"/>
    </row>
    <row r="571" ht="15.75" customHeight="1">
      <c r="B571" s="9"/>
      <c r="C571" s="10"/>
      <c r="D571" s="9"/>
      <c r="E571" s="62"/>
      <c r="F571" s="5"/>
    </row>
    <row r="572" ht="15.75" customHeight="1">
      <c r="B572" s="9"/>
      <c r="C572" s="10"/>
      <c r="D572" s="9"/>
      <c r="E572" s="62"/>
      <c r="F572" s="5"/>
    </row>
    <row r="573" ht="15.75" customHeight="1">
      <c r="B573" s="9"/>
      <c r="C573" s="10"/>
      <c r="D573" s="9"/>
      <c r="E573" s="62"/>
      <c r="F573" s="5"/>
    </row>
    <row r="574" ht="15.75" customHeight="1">
      <c r="B574" s="9"/>
      <c r="C574" s="10"/>
      <c r="D574" s="9"/>
      <c r="E574" s="62"/>
      <c r="F574" s="5"/>
    </row>
    <row r="575" ht="15.75" customHeight="1">
      <c r="B575" s="9"/>
      <c r="C575" s="10"/>
      <c r="D575" s="9"/>
      <c r="E575" s="62"/>
      <c r="F575" s="5"/>
    </row>
    <row r="576" ht="15.75" customHeight="1">
      <c r="B576" s="9"/>
      <c r="C576" s="10"/>
      <c r="D576" s="9"/>
      <c r="E576" s="62"/>
      <c r="F576" s="5"/>
    </row>
    <row r="577" ht="15.75" customHeight="1">
      <c r="B577" s="9"/>
      <c r="C577" s="10"/>
      <c r="D577" s="9"/>
      <c r="E577" s="62"/>
      <c r="F577" s="5"/>
    </row>
    <row r="578" ht="15.75" customHeight="1">
      <c r="B578" s="9"/>
      <c r="C578" s="10"/>
      <c r="D578" s="9"/>
      <c r="E578" s="62"/>
      <c r="F578" s="5"/>
    </row>
    <row r="579" ht="15.75" customHeight="1">
      <c r="B579" s="9"/>
      <c r="C579" s="10"/>
      <c r="D579" s="9"/>
      <c r="E579" s="62"/>
      <c r="F579" s="5"/>
    </row>
    <row r="580" ht="15.75" customHeight="1">
      <c r="B580" s="9"/>
      <c r="C580" s="10"/>
      <c r="D580" s="9"/>
      <c r="E580" s="62"/>
      <c r="F580" s="5"/>
    </row>
    <row r="581" ht="15.75" customHeight="1">
      <c r="B581" s="9"/>
      <c r="C581" s="10"/>
      <c r="D581" s="9"/>
      <c r="E581" s="62"/>
      <c r="F581" s="5"/>
    </row>
    <row r="582" ht="15.75" customHeight="1">
      <c r="B582" s="9"/>
      <c r="C582" s="10"/>
      <c r="D582" s="9"/>
      <c r="E582" s="62"/>
      <c r="F582" s="5"/>
    </row>
    <row r="583" ht="15.75" customHeight="1">
      <c r="B583" s="9"/>
      <c r="C583" s="10"/>
      <c r="D583" s="9"/>
      <c r="E583" s="62"/>
      <c r="F583" s="5"/>
    </row>
    <row r="584" ht="15.75" customHeight="1">
      <c r="B584" s="9"/>
      <c r="C584" s="10"/>
      <c r="D584" s="9"/>
      <c r="E584" s="62"/>
      <c r="F584" s="5"/>
    </row>
    <row r="585" ht="15.75" customHeight="1">
      <c r="B585" s="9"/>
      <c r="C585" s="10"/>
      <c r="D585" s="9"/>
      <c r="E585" s="62"/>
      <c r="F585" s="5"/>
    </row>
    <row r="586" ht="15.75" customHeight="1">
      <c r="B586" s="9"/>
      <c r="C586" s="10"/>
      <c r="D586" s="9"/>
      <c r="E586" s="62"/>
      <c r="F586" s="5"/>
    </row>
    <row r="587" ht="15.75" customHeight="1">
      <c r="B587" s="9"/>
      <c r="C587" s="10"/>
      <c r="D587" s="9"/>
      <c r="E587" s="62"/>
      <c r="F587" s="5"/>
    </row>
    <row r="588" ht="15.75" customHeight="1">
      <c r="B588" s="9"/>
      <c r="C588" s="10"/>
      <c r="D588" s="9"/>
      <c r="E588" s="62"/>
      <c r="F588" s="5"/>
    </row>
    <row r="589" ht="15.75" customHeight="1">
      <c r="B589" s="9"/>
      <c r="C589" s="10"/>
      <c r="D589" s="9"/>
      <c r="E589" s="62"/>
      <c r="F589" s="5"/>
    </row>
    <row r="590" ht="15.75" customHeight="1">
      <c r="B590" s="9"/>
      <c r="C590" s="10"/>
      <c r="D590" s="9"/>
      <c r="E590" s="62"/>
      <c r="F590" s="5"/>
    </row>
    <row r="591" ht="15.75" customHeight="1">
      <c r="B591" s="9"/>
      <c r="C591" s="10"/>
      <c r="D591" s="9"/>
      <c r="E591" s="62"/>
      <c r="F591" s="5"/>
    </row>
    <row r="592" ht="15.75" customHeight="1">
      <c r="B592" s="9"/>
      <c r="C592" s="10"/>
      <c r="D592" s="9"/>
      <c r="E592" s="62"/>
      <c r="F592" s="5"/>
    </row>
    <row r="593" ht="15.75" customHeight="1">
      <c r="B593" s="9"/>
      <c r="C593" s="10"/>
      <c r="D593" s="9"/>
      <c r="E593" s="62"/>
      <c r="F593" s="5"/>
    </row>
    <row r="594" ht="15.75" customHeight="1">
      <c r="B594" s="9"/>
      <c r="C594" s="10"/>
      <c r="D594" s="9"/>
      <c r="E594" s="62"/>
      <c r="F594" s="5"/>
    </row>
    <row r="595" ht="15.75" customHeight="1">
      <c r="B595" s="9"/>
      <c r="C595" s="10"/>
      <c r="D595" s="9"/>
      <c r="E595" s="62"/>
      <c r="F595" s="5"/>
    </row>
    <row r="596" ht="15.75" customHeight="1">
      <c r="B596" s="9"/>
      <c r="C596" s="10"/>
      <c r="D596" s="9"/>
      <c r="E596" s="62"/>
      <c r="F596" s="5"/>
    </row>
    <row r="597" ht="15.75" customHeight="1">
      <c r="B597" s="9"/>
      <c r="C597" s="10"/>
      <c r="D597" s="9"/>
      <c r="E597" s="62"/>
      <c r="F597" s="5"/>
    </row>
    <row r="598" ht="15.75" customHeight="1">
      <c r="B598" s="9"/>
      <c r="C598" s="10"/>
      <c r="D598" s="9"/>
      <c r="E598" s="62"/>
      <c r="F598" s="5"/>
    </row>
    <row r="599" ht="15.75" customHeight="1">
      <c r="B599" s="9"/>
      <c r="C599" s="10"/>
      <c r="D599" s="9"/>
      <c r="E599" s="62"/>
      <c r="F599" s="5"/>
    </row>
    <row r="600" ht="15.75" customHeight="1">
      <c r="B600" s="9"/>
      <c r="C600" s="10"/>
      <c r="D600" s="9"/>
      <c r="E600" s="62"/>
      <c r="F600" s="5"/>
    </row>
    <row r="601" ht="15.75" customHeight="1">
      <c r="B601" s="9"/>
      <c r="C601" s="10"/>
      <c r="D601" s="9"/>
      <c r="E601" s="62"/>
      <c r="F601" s="5"/>
    </row>
    <row r="602" ht="15.75" customHeight="1">
      <c r="B602" s="9"/>
      <c r="C602" s="10"/>
      <c r="D602" s="9"/>
      <c r="E602" s="62"/>
      <c r="F602" s="5"/>
    </row>
    <row r="603" ht="15.75" customHeight="1">
      <c r="B603" s="9"/>
      <c r="C603" s="10"/>
      <c r="D603" s="9"/>
      <c r="E603" s="62"/>
      <c r="F603" s="5"/>
    </row>
    <row r="604" ht="15.75" customHeight="1">
      <c r="B604" s="9"/>
      <c r="C604" s="10"/>
      <c r="D604" s="9"/>
      <c r="E604" s="62"/>
      <c r="F604" s="5"/>
    </row>
    <row r="605" ht="15.75" customHeight="1">
      <c r="B605" s="9"/>
      <c r="C605" s="10"/>
      <c r="D605" s="9"/>
      <c r="E605" s="62"/>
      <c r="F605" s="5"/>
    </row>
    <row r="606" ht="15.75" customHeight="1">
      <c r="B606" s="9"/>
      <c r="C606" s="10"/>
      <c r="D606" s="9"/>
      <c r="E606" s="62"/>
      <c r="F606" s="5"/>
    </row>
    <row r="607" ht="15.75" customHeight="1">
      <c r="B607" s="9"/>
      <c r="C607" s="10"/>
      <c r="D607" s="9"/>
      <c r="E607" s="62"/>
      <c r="F607" s="5"/>
    </row>
    <row r="608" ht="15.75" customHeight="1">
      <c r="B608" s="9"/>
      <c r="C608" s="10"/>
      <c r="D608" s="9"/>
      <c r="E608" s="62"/>
      <c r="F608" s="5"/>
    </row>
    <row r="609" ht="15.75" customHeight="1">
      <c r="B609" s="9"/>
      <c r="C609" s="10"/>
      <c r="D609" s="9"/>
      <c r="E609" s="62"/>
      <c r="F609" s="5"/>
    </row>
    <row r="610" ht="15.75" customHeight="1">
      <c r="B610" s="9"/>
      <c r="C610" s="10"/>
      <c r="D610" s="9"/>
      <c r="E610" s="62"/>
      <c r="F610" s="5"/>
    </row>
    <row r="611" ht="15.75" customHeight="1">
      <c r="B611" s="9"/>
      <c r="C611" s="10"/>
      <c r="D611" s="9"/>
      <c r="E611" s="62"/>
      <c r="F611" s="5"/>
    </row>
    <row r="612" ht="15.75" customHeight="1">
      <c r="B612" s="9"/>
      <c r="C612" s="10"/>
      <c r="D612" s="9"/>
      <c r="E612" s="62"/>
      <c r="F612" s="5"/>
    </row>
    <row r="613" ht="15.75" customHeight="1">
      <c r="B613" s="9"/>
      <c r="C613" s="10"/>
      <c r="D613" s="9"/>
      <c r="E613" s="62"/>
      <c r="F613" s="5"/>
    </row>
    <row r="614" ht="15.75" customHeight="1">
      <c r="B614" s="9"/>
      <c r="C614" s="10"/>
      <c r="D614" s="9"/>
      <c r="E614" s="62"/>
      <c r="F614" s="5"/>
    </row>
    <row r="615" ht="15.75" customHeight="1">
      <c r="B615" s="9"/>
      <c r="C615" s="10"/>
      <c r="D615" s="9"/>
      <c r="E615" s="62"/>
      <c r="F615" s="5"/>
    </row>
    <row r="616" ht="15.75" customHeight="1">
      <c r="B616" s="9"/>
      <c r="C616" s="10"/>
      <c r="D616" s="9"/>
      <c r="E616" s="62"/>
      <c r="F616" s="5"/>
    </row>
    <row r="617" ht="15.75" customHeight="1">
      <c r="B617" s="9"/>
      <c r="C617" s="10"/>
      <c r="D617" s="9"/>
      <c r="E617" s="62"/>
      <c r="F617" s="5"/>
    </row>
    <row r="618" ht="15.75" customHeight="1">
      <c r="B618" s="9"/>
      <c r="C618" s="10"/>
      <c r="D618" s="9"/>
      <c r="E618" s="62"/>
      <c r="F618" s="5"/>
    </row>
    <row r="619" ht="15.75" customHeight="1">
      <c r="B619" s="9"/>
      <c r="C619" s="10"/>
      <c r="D619" s="9"/>
      <c r="E619" s="62"/>
      <c r="F619" s="5"/>
    </row>
    <row r="620" ht="15.75" customHeight="1">
      <c r="B620" s="9"/>
      <c r="C620" s="10"/>
      <c r="D620" s="9"/>
      <c r="E620" s="62"/>
      <c r="F620" s="5"/>
    </row>
    <row r="621" ht="15.75" customHeight="1">
      <c r="B621" s="9"/>
      <c r="C621" s="10"/>
      <c r="D621" s="9"/>
      <c r="E621" s="62"/>
      <c r="F621" s="5"/>
    </row>
    <row r="622" ht="15.75" customHeight="1">
      <c r="B622" s="9"/>
      <c r="C622" s="10"/>
      <c r="D622" s="9"/>
      <c r="E622" s="62"/>
      <c r="F622" s="5"/>
    </row>
    <row r="623" ht="15.75" customHeight="1">
      <c r="B623" s="9"/>
      <c r="C623" s="10"/>
      <c r="D623" s="9"/>
      <c r="E623" s="62"/>
      <c r="F623" s="5"/>
    </row>
    <row r="624" ht="15.75" customHeight="1">
      <c r="B624" s="9"/>
      <c r="C624" s="10"/>
      <c r="D624" s="9"/>
      <c r="E624" s="62"/>
      <c r="F624" s="5"/>
    </row>
    <row r="625" ht="15.75" customHeight="1">
      <c r="B625" s="9"/>
      <c r="C625" s="10"/>
      <c r="D625" s="9"/>
      <c r="E625" s="62"/>
      <c r="F625" s="5"/>
    </row>
    <row r="626" ht="15.75" customHeight="1">
      <c r="B626" s="9"/>
      <c r="C626" s="10"/>
      <c r="D626" s="9"/>
      <c r="E626" s="62"/>
      <c r="F626" s="5"/>
    </row>
    <row r="627" ht="15.75" customHeight="1">
      <c r="B627" s="9"/>
      <c r="C627" s="10"/>
      <c r="D627" s="9"/>
      <c r="E627" s="62"/>
      <c r="F627" s="5"/>
    </row>
    <row r="628" ht="15.75" customHeight="1">
      <c r="B628" s="9"/>
      <c r="C628" s="10"/>
      <c r="D628" s="9"/>
      <c r="E628" s="62"/>
      <c r="F628" s="5"/>
    </row>
    <row r="629" ht="15.75" customHeight="1">
      <c r="B629" s="9"/>
      <c r="C629" s="10"/>
      <c r="D629" s="9"/>
      <c r="E629" s="62"/>
      <c r="F629" s="5"/>
    </row>
    <row r="630" ht="15.75" customHeight="1">
      <c r="B630" s="9"/>
      <c r="C630" s="10"/>
      <c r="D630" s="9"/>
      <c r="E630" s="62"/>
      <c r="F630" s="5"/>
    </row>
    <row r="631" ht="15.75" customHeight="1">
      <c r="B631" s="9"/>
      <c r="C631" s="10"/>
      <c r="D631" s="9"/>
      <c r="E631" s="62"/>
      <c r="F631" s="5"/>
    </row>
    <row r="632" ht="15.75" customHeight="1">
      <c r="B632" s="9"/>
      <c r="C632" s="10"/>
      <c r="D632" s="9"/>
      <c r="E632" s="62"/>
      <c r="F632" s="5"/>
    </row>
    <row r="633" ht="15.75" customHeight="1">
      <c r="B633" s="9"/>
      <c r="C633" s="10"/>
      <c r="D633" s="9"/>
      <c r="E633" s="62"/>
      <c r="F633" s="5"/>
    </row>
    <row r="634" ht="15.75" customHeight="1">
      <c r="B634" s="9"/>
      <c r="C634" s="10"/>
      <c r="D634" s="9"/>
      <c r="E634" s="62"/>
      <c r="F634" s="5"/>
    </row>
    <row r="635" ht="15.75" customHeight="1">
      <c r="B635" s="9"/>
      <c r="C635" s="10"/>
      <c r="D635" s="9"/>
      <c r="E635" s="62"/>
      <c r="F635" s="5"/>
    </row>
    <row r="636" ht="15.75" customHeight="1">
      <c r="B636" s="9"/>
      <c r="C636" s="10"/>
      <c r="D636" s="9"/>
      <c r="E636" s="62"/>
      <c r="F636" s="5"/>
    </row>
    <row r="637" ht="15.75" customHeight="1">
      <c r="B637" s="9"/>
      <c r="C637" s="10"/>
      <c r="D637" s="9"/>
      <c r="E637" s="62"/>
      <c r="F637" s="5"/>
    </row>
    <row r="638" ht="15.75" customHeight="1">
      <c r="B638" s="9"/>
      <c r="C638" s="10"/>
      <c r="D638" s="9"/>
      <c r="E638" s="62"/>
      <c r="F638" s="5"/>
    </row>
    <row r="639" ht="15.75" customHeight="1">
      <c r="B639" s="9"/>
      <c r="C639" s="10"/>
      <c r="D639" s="9"/>
      <c r="E639" s="62"/>
      <c r="F639" s="5"/>
    </row>
    <row r="640" ht="15.75" customHeight="1">
      <c r="B640" s="9"/>
      <c r="C640" s="10"/>
      <c r="D640" s="9"/>
      <c r="E640" s="62"/>
      <c r="F640" s="5"/>
    </row>
    <row r="641" ht="15.75" customHeight="1">
      <c r="B641" s="9"/>
      <c r="C641" s="10"/>
      <c r="D641" s="9"/>
      <c r="E641" s="62"/>
      <c r="F641" s="5"/>
    </row>
    <row r="642" ht="15.75" customHeight="1">
      <c r="B642" s="9"/>
      <c r="C642" s="10"/>
      <c r="D642" s="9"/>
      <c r="E642" s="62"/>
      <c r="F642" s="5"/>
    </row>
    <row r="643" ht="15.75" customHeight="1">
      <c r="B643" s="9"/>
      <c r="C643" s="10"/>
      <c r="D643" s="9"/>
      <c r="E643" s="62"/>
      <c r="F643" s="5"/>
    </row>
    <row r="644" ht="15.75" customHeight="1">
      <c r="B644" s="9"/>
      <c r="C644" s="10"/>
      <c r="D644" s="9"/>
      <c r="E644" s="62"/>
      <c r="F644" s="5"/>
    </row>
    <row r="645" ht="15.75" customHeight="1">
      <c r="B645" s="9"/>
      <c r="C645" s="10"/>
      <c r="D645" s="9"/>
      <c r="E645" s="62"/>
      <c r="F645" s="5"/>
    </row>
    <row r="646" ht="15.75" customHeight="1">
      <c r="B646" s="9"/>
      <c r="C646" s="10"/>
      <c r="D646" s="9"/>
      <c r="E646" s="62"/>
      <c r="F646" s="5"/>
    </row>
    <row r="647" ht="15.75" customHeight="1">
      <c r="B647" s="9"/>
      <c r="C647" s="10"/>
      <c r="D647" s="9"/>
      <c r="E647" s="62"/>
      <c r="F647" s="5"/>
    </row>
    <row r="648" ht="15.75" customHeight="1">
      <c r="B648" s="9"/>
      <c r="C648" s="10"/>
      <c r="D648" s="9"/>
      <c r="E648" s="62"/>
      <c r="F648" s="5"/>
    </row>
    <row r="649" ht="15.75" customHeight="1">
      <c r="B649" s="9"/>
      <c r="C649" s="10"/>
      <c r="D649" s="9"/>
      <c r="E649" s="62"/>
      <c r="F649" s="5"/>
    </row>
    <row r="650" ht="15.75" customHeight="1">
      <c r="B650" s="9"/>
      <c r="C650" s="10"/>
      <c r="D650" s="9"/>
      <c r="E650" s="62"/>
      <c r="F650" s="5"/>
    </row>
    <row r="651" ht="15.75" customHeight="1">
      <c r="B651" s="9"/>
      <c r="C651" s="10"/>
      <c r="D651" s="9"/>
      <c r="E651" s="62"/>
      <c r="F651" s="5"/>
    </row>
    <row r="652" ht="15.75" customHeight="1">
      <c r="B652" s="9"/>
      <c r="C652" s="10"/>
      <c r="D652" s="9"/>
      <c r="E652" s="62"/>
      <c r="F652" s="5"/>
    </row>
    <row r="653" ht="15.75" customHeight="1">
      <c r="B653" s="9"/>
      <c r="C653" s="10"/>
      <c r="D653" s="9"/>
      <c r="E653" s="62"/>
      <c r="F653" s="5"/>
    </row>
    <row r="654" ht="15.75" customHeight="1">
      <c r="B654" s="9"/>
      <c r="C654" s="10"/>
      <c r="D654" s="9"/>
      <c r="E654" s="62"/>
      <c r="F654" s="5"/>
    </row>
    <row r="655" ht="15.75" customHeight="1">
      <c r="B655" s="9"/>
      <c r="C655" s="10"/>
      <c r="D655" s="9"/>
      <c r="E655" s="62"/>
      <c r="F655" s="5"/>
    </row>
    <row r="656" ht="15.75" customHeight="1">
      <c r="B656" s="9"/>
      <c r="C656" s="10"/>
      <c r="D656" s="9"/>
      <c r="E656" s="62"/>
      <c r="F656" s="5"/>
    </row>
    <row r="657" ht="15.75" customHeight="1">
      <c r="B657" s="9"/>
      <c r="C657" s="10"/>
      <c r="D657" s="9"/>
      <c r="E657" s="62"/>
      <c r="F657" s="5"/>
    </row>
    <row r="658" ht="15.75" customHeight="1">
      <c r="B658" s="9"/>
      <c r="C658" s="10"/>
      <c r="D658" s="9"/>
      <c r="E658" s="62"/>
      <c r="F658" s="5"/>
    </row>
    <row r="659" ht="15.75" customHeight="1">
      <c r="B659" s="9"/>
      <c r="C659" s="10"/>
      <c r="D659" s="9"/>
      <c r="E659" s="62"/>
      <c r="F659" s="5"/>
    </row>
    <row r="660" ht="15.75" customHeight="1">
      <c r="B660" s="9"/>
      <c r="C660" s="10"/>
      <c r="D660" s="9"/>
      <c r="E660" s="62"/>
      <c r="F660" s="5"/>
    </row>
    <row r="661" ht="15.75" customHeight="1">
      <c r="B661" s="9"/>
      <c r="C661" s="10"/>
      <c r="D661" s="9"/>
      <c r="E661" s="62"/>
      <c r="F661" s="5"/>
    </row>
    <row r="662" ht="15.75" customHeight="1">
      <c r="B662" s="9"/>
      <c r="C662" s="10"/>
      <c r="D662" s="9"/>
      <c r="E662" s="62"/>
      <c r="F662" s="5"/>
    </row>
    <row r="663" ht="15.75" customHeight="1">
      <c r="B663" s="9"/>
      <c r="C663" s="10"/>
      <c r="D663" s="9"/>
      <c r="E663" s="62"/>
      <c r="F663" s="5"/>
    </row>
    <row r="664" ht="15.75" customHeight="1">
      <c r="B664" s="9"/>
      <c r="C664" s="10"/>
      <c r="D664" s="9"/>
      <c r="E664" s="62"/>
      <c r="F664" s="5"/>
    </row>
    <row r="665" ht="15.75" customHeight="1">
      <c r="B665" s="9"/>
      <c r="C665" s="10"/>
      <c r="D665" s="9"/>
      <c r="E665" s="62"/>
      <c r="F665" s="5"/>
    </row>
    <row r="666" ht="15.75" customHeight="1">
      <c r="B666" s="9"/>
      <c r="C666" s="10"/>
      <c r="D666" s="9"/>
      <c r="E666" s="62"/>
      <c r="F666" s="5"/>
    </row>
    <row r="667" ht="15.75" customHeight="1">
      <c r="B667" s="9"/>
      <c r="C667" s="10"/>
      <c r="D667" s="9"/>
      <c r="E667" s="62"/>
      <c r="F667" s="5"/>
    </row>
    <row r="668" ht="15.75" customHeight="1">
      <c r="B668" s="9"/>
      <c r="C668" s="10"/>
      <c r="D668" s="9"/>
      <c r="E668" s="62"/>
      <c r="F668" s="5"/>
    </row>
    <row r="669" ht="15.75" customHeight="1">
      <c r="B669" s="9"/>
      <c r="C669" s="10"/>
      <c r="D669" s="9"/>
      <c r="E669" s="62"/>
      <c r="F669" s="5"/>
    </row>
    <row r="670" ht="15.75" customHeight="1">
      <c r="B670" s="9"/>
      <c r="C670" s="10"/>
      <c r="D670" s="9"/>
      <c r="E670" s="62"/>
      <c r="F670" s="5"/>
    </row>
    <row r="671" ht="15.75" customHeight="1">
      <c r="B671" s="9"/>
      <c r="C671" s="10"/>
      <c r="D671" s="9"/>
      <c r="E671" s="62"/>
      <c r="F671" s="5"/>
    </row>
    <row r="672" ht="15.75" customHeight="1">
      <c r="B672" s="9"/>
      <c r="C672" s="10"/>
      <c r="D672" s="9"/>
      <c r="E672" s="62"/>
      <c r="F672" s="5"/>
    </row>
    <row r="673" ht="15.75" customHeight="1">
      <c r="B673" s="9"/>
      <c r="C673" s="10"/>
      <c r="D673" s="9"/>
      <c r="E673" s="62"/>
      <c r="F673" s="5"/>
    </row>
    <row r="674" ht="15.75" customHeight="1">
      <c r="B674" s="9"/>
      <c r="C674" s="10"/>
      <c r="D674" s="9"/>
      <c r="E674" s="62"/>
      <c r="F674" s="5"/>
    </row>
    <row r="675" ht="15.75" customHeight="1">
      <c r="B675" s="9"/>
      <c r="C675" s="10"/>
      <c r="D675" s="9"/>
      <c r="E675" s="62"/>
      <c r="F675" s="5"/>
    </row>
    <row r="676" ht="15.75" customHeight="1">
      <c r="B676" s="9"/>
      <c r="C676" s="10"/>
      <c r="D676" s="9"/>
      <c r="E676" s="62"/>
      <c r="F676" s="5"/>
    </row>
    <row r="677" ht="15.75" customHeight="1">
      <c r="B677" s="9"/>
      <c r="C677" s="10"/>
      <c r="D677" s="9"/>
      <c r="E677" s="62"/>
      <c r="F677" s="5"/>
    </row>
    <row r="678" ht="15.75" customHeight="1">
      <c r="B678" s="9"/>
      <c r="C678" s="10"/>
      <c r="D678" s="9"/>
      <c r="E678" s="62"/>
      <c r="F678" s="5"/>
    </row>
    <row r="679" ht="15.75" customHeight="1">
      <c r="B679" s="9"/>
      <c r="C679" s="10"/>
      <c r="D679" s="9"/>
      <c r="E679" s="62"/>
      <c r="F679" s="5"/>
    </row>
    <row r="680" ht="15.75" customHeight="1">
      <c r="B680" s="9"/>
      <c r="C680" s="10"/>
      <c r="D680" s="9"/>
      <c r="E680" s="62"/>
      <c r="F680" s="5"/>
    </row>
    <row r="681" ht="15.75" customHeight="1">
      <c r="B681" s="9"/>
      <c r="C681" s="10"/>
      <c r="D681" s="9"/>
      <c r="E681" s="62"/>
      <c r="F681" s="5"/>
    </row>
    <row r="682" ht="15.75" customHeight="1">
      <c r="B682" s="9"/>
      <c r="C682" s="10"/>
      <c r="D682" s="9"/>
      <c r="E682" s="62"/>
      <c r="F682" s="5"/>
    </row>
    <row r="683" ht="15.75" customHeight="1">
      <c r="B683" s="9"/>
      <c r="C683" s="10"/>
      <c r="D683" s="9"/>
      <c r="E683" s="62"/>
      <c r="F683" s="5"/>
    </row>
    <row r="684" ht="15.75" customHeight="1">
      <c r="B684" s="9"/>
      <c r="C684" s="10"/>
      <c r="D684" s="9"/>
      <c r="E684" s="62"/>
      <c r="F684" s="5"/>
    </row>
    <row r="685" ht="15.75" customHeight="1">
      <c r="B685" s="9"/>
      <c r="C685" s="10"/>
      <c r="D685" s="9"/>
      <c r="E685" s="62"/>
      <c r="F685" s="5"/>
    </row>
    <row r="686" ht="15.75" customHeight="1">
      <c r="B686" s="9"/>
      <c r="C686" s="10"/>
      <c r="D686" s="9"/>
      <c r="E686" s="62"/>
      <c r="F686" s="5"/>
    </row>
    <row r="687" ht="15.75" customHeight="1">
      <c r="B687" s="9"/>
      <c r="C687" s="10"/>
      <c r="D687" s="9"/>
      <c r="E687" s="62"/>
      <c r="F687" s="5"/>
    </row>
    <row r="688" ht="15.75" customHeight="1">
      <c r="B688" s="9"/>
      <c r="C688" s="10"/>
      <c r="D688" s="9"/>
      <c r="E688" s="62"/>
      <c r="F688" s="5"/>
    </row>
    <row r="689" ht="15.75" customHeight="1">
      <c r="B689" s="9"/>
      <c r="C689" s="10"/>
      <c r="D689" s="9"/>
      <c r="E689" s="62"/>
      <c r="F689" s="5"/>
    </row>
    <row r="690" ht="15.75" customHeight="1">
      <c r="B690" s="9"/>
      <c r="C690" s="10"/>
      <c r="D690" s="9"/>
      <c r="E690" s="62"/>
      <c r="F690" s="5"/>
    </row>
    <row r="691" ht="15.75" customHeight="1">
      <c r="B691" s="9"/>
      <c r="C691" s="10"/>
      <c r="D691" s="9"/>
      <c r="E691" s="62"/>
      <c r="F691" s="5"/>
    </row>
    <row r="692" ht="15.75" customHeight="1">
      <c r="B692" s="9"/>
      <c r="C692" s="10"/>
      <c r="D692" s="9"/>
      <c r="E692" s="62"/>
      <c r="F692" s="5"/>
    </row>
    <row r="693" ht="15.75" customHeight="1">
      <c r="B693" s="9"/>
      <c r="C693" s="10"/>
      <c r="D693" s="9"/>
      <c r="E693" s="62"/>
      <c r="F693" s="5"/>
    </row>
    <row r="694" ht="15.75" customHeight="1">
      <c r="B694" s="9"/>
      <c r="C694" s="10"/>
      <c r="D694" s="9"/>
      <c r="E694" s="62"/>
      <c r="F694" s="5"/>
    </row>
    <row r="695" ht="15.75" customHeight="1">
      <c r="B695" s="9"/>
      <c r="C695" s="10"/>
      <c r="D695" s="9"/>
      <c r="E695" s="62"/>
      <c r="F695" s="5"/>
    </row>
    <row r="696" ht="15.75" customHeight="1">
      <c r="B696" s="9"/>
      <c r="C696" s="10"/>
      <c r="D696" s="9"/>
      <c r="E696" s="62"/>
      <c r="F696" s="5"/>
    </row>
    <row r="697" ht="15.75" customHeight="1">
      <c r="B697" s="9"/>
      <c r="C697" s="10"/>
      <c r="D697" s="9"/>
      <c r="E697" s="62"/>
      <c r="F697" s="5"/>
    </row>
    <row r="698" ht="15.75" customHeight="1">
      <c r="B698" s="9"/>
      <c r="C698" s="10"/>
      <c r="D698" s="9"/>
      <c r="E698" s="62"/>
      <c r="F698" s="5"/>
    </row>
    <row r="699" ht="15.75" customHeight="1">
      <c r="B699" s="9"/>
      <c r="C699" s="10"/>
      <c r="D699" s="9"/>
      <c r="E699" s="62"/>
      <c r="F699" s="5"/>
    </row>
    <row r="700" ht="15.75" customHeight="1">
      <c r="B700" s="9"/>
      <c r="C700" s="10"/>
      <c r="D700" s="9"/>
      <c r="E700" s="62"/>
      <c r="F700" s="5"/>
    </row>
    <row r="701" ht="15.75" customHeight="1">
      <c r="B701" s="9"/>
      <c r="C701" s="10"/>
      <c r="D701" s="9"/>
      <c r="E701" s="62"/>
      <c r="F701" s="5"/>
    </row>
    <row r="702" ht="15.75" customHeight="1">
      <c r="B702" s="9"/>
      <c r="C702" s="10"/>
      <c r="D702" s="9"/>
      <c r="E702" s="62"/>
      <c r="F702" s="5"/>
    </row>
    <row r="703" ht="15.75" customHeight="1">
      <c r="B703" s="9"/>
      <c r="C703" s="10"/>
      <c r="D703" s="9"/>
      <c r="E703" s="62"/>
      <c r="F703" s="5"/>
    </row>
    <row r="704" ht="15.75" customHeight="1">
      <c r="B704" s="9"/>
      <c r="C704" s="10"/>
      <c r="D704" s="9"/>
      <c r="E704" s="62"/>
      <c r="F704" s="5"/>
    </row>
    <row r="705" ht="15.75" customHeight="1">
      <c r="B705" s="9"/>
      <c r="C705" s="10"/>
      <c r="D705" s="9"/>
      <c r="E705" s="62"/>
      <c r="F705" s="5"/>
    </row>
    <row r="706" ht="15.75" customHeight="1">
      <c r="B706" s="9"/>
      <c r="C706" s="10"/>
      <c r="D706" s="9"/>
      <c r="E706" s="62"/>
      <c r="F706" s="5"/>
    </row>
    <row r="707" ht="15.75" customHeight="1">
      <c r="B707" s="9"/>
      <c r="C707" s="10"/>
      <c r="D707" s="9"/>
      <c r="E707" s="62"/>
      <c r="F707" s="5"/>
    </row>
    <row r="708" ht="15.75" customHeight="1">
      <c r="B708" s="9"/>
      <c r="C708" s="10"/>
      <c r="D708" s="9"/>
      <c r="E708" s="62"/>
      <c r="F708" s="5"/>
    </row>
    <row r="709" ht="15.75" customHeight="1">
      <c r="B709" s="9"/>
      <c r="C709" s="10"/>
      <c r="D709" s="9"/>
      <c r="E709" s="62"/>
      <c r="F709" s="5"/>
    </row>
    <row r="710" ht="15.75" customHeight="1">
      <c r="B710" s="9"/>
      <c r="C710" s="10"/>
      <c r="D710" s="9"/>
      <c r="E710" s="62"/>
      <c r="F710" s="5"/>
    </row>
    <row r="711" ht="15.75" customHeight="1">
      <c r="B711" s="9"/>
      <c r="C711" s="10"/>
      <c r="D711" s="9"/>
      <c r="E711" s="62"/>
      <c r="F711" s="5"/>
    </row>
    <row r="712" ht="15.75" customHeight="1">
      <c r="B712" s="9"/>
      <c r="C712" s="10"/>
      <c r="D712" s="9"/>
      <c r="E712" s="62"/>
      <c r="F712" s="5"/>
    </row>
    <row r="713" ht="15.75" customHeight="1">
      <c r="B713" s="9"/>
      <c r="C713" s="10"/>
      <c r="D713" s="9"/>
      <c r="E713" s="62"/>
      <c r="F713" s="5"/>
    </row>
    <row r="714" ht="15.75" customHeight="1">
      <c r="B714" s="9"/>
      <c r="C714" s="10"/>
      <c r="D714" s="9"/>
      <c r="E714" s="62"/>
      <c r="F714" s="5"/>
    </row>
    <row r="715" ht="15.75" customHeight="1">
      <c r="B715" s="9"/>
      <c r="C715" s="10"/>
      <c r="D715" s="9"/>
      <c r="E715" s="62"/>
      <c r="F715" s="5"/>
    </row>
    <row r="716" ht="15.75" customHeight="1">
      <c r="B716" s="9"/>
      <c r="C716" s="10"/>
      <c r="D716" s="9"/>
      <c r="E716" s="62"/>
      <c r="F716" s="5"/>
    </row>
    <row r="717" ht="15.75" customHeight="1">
      <c r="B717" s="9"/>
      <c r="C717" s="10"/>
      <c r="D717" s="9"/>
      <c r="E717" s="62"/>
      <c r="F717" s="5"/>
    </row>
    <row r="718" ht="15.75" customHeight="1">
      <c r="B718" s="9"/>
      <c r="C718" s="10"/>
      <c r="D718" s="9"/>
      <c r="E718" s="62"/>
      <c r="F718" s="5"/>
    </row>
    <row r="719" ht="15.75" customHeight="1">
      <c r="B719" s="9"/>
      <c r="C719" s="10"/>
      <c r="D719" s="9"/>
      <c r="E719" s="62"/>
      <c r="F719" s="5"/>
    </row>
    <row r="720" ht="15.75" customHeight="1">
      <c r="B720" s="9"/>
      <c r="C720" s="10"/>
      <c r="D720" s="9"/>
      <c r="E720" s="62"/>
      <c r="F720" s="5"/>
    </row>
    <row r="721" ht="15.75" customHeight="1">
      <c r="B721" s="9"/>
      <c r="C721" s="10"/>
      <c r="D721" s="9"/>
      <c r="E721" s="62"/>
      <c r="F721" s="5"/>
    </row>
    <row r="722" ht="15.75" customHeight="1">
      <c r="B722" s="9"/>
      <c r="C722" s="10"/>
      <c r="D722" s="9"/>
      <c r="E722" s="62"/>
      <c r="F722" s="5"/>
    </row>
    <row r="723" ht="15.75" customHeight="1">
      <c r="B723" s="9"/>
      <c r="C723" s="10"/>
      <c r="D723" s="9"/>
      <c r="E723" s="62"/>
      <c r="F723" s="5"/>
    </row>
    <row r="724" ht="15.75" customHeight="1">
      <c r="B724" s="9"/>
      <c r="C724" s="10"/>
      <c r="D724" s="9"/>
      <c r="E724" s="62"/>
      <c r="F724" s="5"/>
    </row>
    <row r="725" ht="15.75" customHeight="1">
      <c r="B725" s="9"/>
      <c r="C725" s="10"/>
      <c r="D725" s="9"/>
      <c r="E725" s="62"/>
      <c r="F725" s="5"/>
    </row>
    <row r="726" ht="15.75" customHeight="1">
      <c r="B726" s="9"/>
      <c r="C726" s="10"/>
      <c r="D726" s="9"/>
      <c r="E726" s="62"/>
      <c r="F726" s="5"/>
    </row>
    <row r="727" ht="15.75" customHeight="1">
      <c r="B727" s="9"/>
      <c r="C727" s="10"/>
      <c r="D727" s="9"/>
      <c r="E727" s="62"/>
      <c r="F727" s="5"/>
    </row>
    <row r="728" ht="15.75" customHeight="1">
      <c r="B728" s="9"/>
      <c r="C728" s="10"/>
      <c r="D728" s="9"/>
      <c r="E728" s="62"/>
      <c r="F728" s="5"/>
    </row>
    <row r="729" ht="15.75" customHeight="1">
      <c r="B729" s="9"/>
      <c r="C729" s="10"/>
      <c r="D729" s="9"/>
      <c r="E729" s="62"/>
      <c r="F729" s="5"/>
    </row>
    <row r="730" ht="15.75" customHeight="1">
      <c r="B730" s="9"/>
      <c r="C730" s="10"/>
      <c r="D730" s="9"/>
      <c r="E730" s="62"/>
      <c r="F730" s="5"/>
    </row>
    <row r="731" ht="15.75" customHeight="1">
      <c r="B731" s="9"/>
      <c r="C731" s="10"/>
      <c r="D731" s="9"/>
      <c r="E731" s="62"/>
      <c r="F731" s="5"/>
    </row>
    <row r="732" ht="15.75" customHeight="1">
      <c r="B732" s="9"/>
      <c r="C732" s="10"/>
      <c r="D732" s="9"/>
      <c r="E732" s="62"/>
      <c r="F732" s="5"/>
    </row>
    <row r="733" ht="15.75" customHeight="1">
      <c r="B733" s="9"/>
      <c r="C733" s="10"/>
      <c r="D733" s="9"/>
      <c r="E733" s="62"/>
      <c r="F733" s="5"/>
    </row>
    <row r="734" ht="15.75" customHeight="1">
      <c r="B734" s="9"/>
      <c r="C734" s="10"/>
      <c r="D734" s="9"/>
      <c r="E734" s="62"/>
      <c r="F734" s="5"/>
    </row>
    <row r="735" ht="15.75" customHeight="1">
      <c r="B735" s="9"/>
      <c r="C735" s="10"/>
      <c r="D735" s="9"/>
      <c r="E735" s="62"/>
      <c r="F735" s="5"/>
    </row>
    <row r="736" ht="15.75" customHeight="1">
      <c r="B736" s="9"/>
      <c r="C736" s="10"/>
      <c r="D736" s="9"/>
      <c r="E736" s="62"/>
      <c r="F736" s="5"/>
    </row>
    <row r="737" ht="15.75" customHeight="1">
      <c r="B737" s="9"/>
      <c r="C737" s="10"/>
      <c r="D737" s="9"/>
      <c r="E737" s="62"/>
      <c r="F737" s="5"/>
    </row>
    <row r="738" ht="15.75" customHeight="1">
      <c r="B738" s="9"/>
      <c r="C738" s="10"/>
      <c r="D738" s="9"/>
      <c r="E738" s="62"/>
      <c r="F738" s="5"/>
    </row>
    <row r="739" ht="15.75" customHeight="1">
      <c r="B739" s="9"/>
      <c r="C739" s="10"/>
      <c r="D739" s="9"/>
      <c r="E739" s="62"/>
      <c r="F739" s="5"/>
    </row>
    <row r="740" ht="15.75" customHeight="1">
      <c r="B740" s="9"/>
      <c r="C740" s="10"/>
      <c r="D740" s="9"/>
      <c r="E740" s="62"/>
      <c r="F740" s="5"/>
    </row>
    <row r="741" ht="15.75" customHeight="1">
      <c r="B741" s="9"/>
      <c r="C741" s="10"/>
      <c r="D741" s="9"/>
      <c r="E741" s="62"/>
      <c r="F741" s="5"/>
    </row>
    <row r="742" ht="15.75" customHeight="1">
      <c r="B742" s="9"/>
      <c r="C742" s="10"/>
      <c r="D742" s="9"/>
      <c r="E742" s="62"/>
      <c r="F742" s="5"/>
    </row>
    <row r="743" ht="15.75" customHeight="1">
      <c r="B743" s="9"/>
      <c r="C743" s="10"/>
      <c r="D743" s="9"/>
      <c r="E743" s="62"/>
      <c r="F743" s="5"/>
    </row>
    <row r="744" ht="15.75" customHeight="1">
      <c r="B744" s="9"/>
      <c r="C744" s="10"/>
      <c r="D744" s="9"/>
      <c r="E744" s="62"/>
      <c r="F744" s="5"/>
    </row>
    <row r="745" ht="15.75" customHeight="1">
      <c r="B745" s="9"/>
      <c r="C745" s="10"/>
      <c r="D745" s="9"/>
      <c r="E745" s="62"/>
      <c r="F745" s="5"/>
    </row>
    <row r="746" ht="15.75" customHeight="1">
      <c r="B746" s="9"/>
      <c r="C746" s="10"/>
      <c r="D746" s="9"/>
      <c r="E746" s="62"/>
      <c r="F746" s="5"/>
    </row>
    <row r="747" ht="15.75" customHeight="1">
      <c r="B747" s="9"/>
      <c r="C747" s="10"/>
      <c r="D747" s="9"/>
      <c r="E747" s="62"/>
      <c r="F747" s="5"/>
    </row>
    <row r="748" ht="15.75" customHeight="1">
      <c r="B748" s="9"/>
      <c r="C748" s="10"/>
      <c r="D748" s="9"/>
      <c r="E748" s="62"/>
      <c r="F748" s="5"/>
    </row>
    <row r="749" ht="15.75" customHeight="1">
      <c r="B749" s="9"/>
      <c r="C749" s="10"/>
      <c r="D749" s="9"/>
      <c r="E749" s="62"/>
      <c r="F749" s="5"/>
    </row>
    <row r="750" ht="15.75" customHeight="1">
      <c r="B750" s="9"/>
      <c r="C750" s="10"/>
      <c r="D750" s="9"/>
      <c r="E750" s="62"/>
      <c r="F750" s="5"/>
    </row>
    <row r="751" ht="15.75" customHeight="1">
      <c r="B751" s="9"/>
      <c r="C751" s="10"/>
      <c r="D751" s="9"/>
      <c r="E751" s="62"/>
      <c r="F751" s="5"/>
    </row>
    <row r="752" ht="15.75" customHeight="1">
      <c r="B752" s="9"/>
      <c r="C752" s="10"/>
      <c r="D752" s="9"/>
      <c r="E752" s="62"/>
      <c r="F752" s="5"/>
    </row>
    <row r="753" ht="15.75" customHeight="1">
      <c r="B753" s="9"/>
      <c r="C753" s="10"/>
      <c r="D753" s="9"/>
      <c r="E753" s="62"/>
      <c r="F753" s="5"/>
    </row>
    <row r="754" ht="15.75" customHeight="1">
      <c r="B754" s="9"/>
      <c r="C754" s="10"/>
      <c r="D754" s="9"/>
      <c r="E754" s="62"/>
      <c r="F754" s="5"/>
    </row>
    <row r="755" ht="15.75" customHeight="1">
      <c r="B755" s="9"/>
      <c r="C755" s="10"/>
      <c r="D755" s="9"/>
      <c r="E755" s="62"/>
      <c r="F755" s="5"/>
    </row>
    <row r="756" ht="15.75" customHeight="1">
      <c r="B756" s="9"/>
      <c r="C756" s="10"/>
      <c r="D756" s="9"/>
      <c r="E756" s="62"/>
      <c r="F756" s="5"/>
    </row>
    <row r="757" ht="15.75" customHeight="1">
      <c r="B757" s="9"/>
      <c r="C757" s="10"/>
      <c r="D757" s="9"/>
      <c r="E757" s="62"/>
      <c r="F757" s="5"/>
    </row>
    <row r="758" ht="15.75" customHeight="1">
      <c r="B758" s="9"/>
      <c r="C758" s="10"/>
      <c r="D758" s="9"/>
      <c r="E758" s="62"/>
      <c r="F758" s="5"/>
    </row>
    <row r="759" ht="15.75" customHeight="1">
      <c r="B759" s="9"/>
      <c r="C759" s="10"/>
      <c r="D759" s="9"/>
      <c r="E759" s="62"/>
      <c r="F759" s="5"/>
    </row>
    <row r="760" ht="15.75" customHeight="1">
      <c r="B760" s="9"/>
      <c r="C760" s="10"/>
      <c r="D760" s="9"/>
      <c r="E760" s="62"/>
      <c r="F760" s="5"/>
    </row>
    <row r="761" ht="15.75" customHeight="1">
      <c r="B761" s="9"/>
      <c r="C761" s="10"/>
      <c r="D761" s="9"/>
      <c r="E761" s="62"/>
      <c r="F761" s="5"/>
    </row>
    <row r="762" ht="15.75" customHeight="1">
      <c r="B762" s="9"/>
      <c r="C762" s="10"/>
      <c r="D762" s="9"/>
      <c r="E762" s="62"/>
      <c r="F762" s="5"/>
    </row>
    <row r="763" ht="15.75" customHeight="1">
      <c r="B763" s="9"/>
      <c r="C763" s="10"/>
      <c r="D763" s="9"/>
      <c r="E763" s="62"/>
      <c r="F763" s="5"/>
    </row>
    <row r="764" ht="15.75" customHeight="1">
      <c r="B764" s="9"/>
      <c r="C764" s="10"/>
      <c r="D764" s="9"/>
      <c r="E764" s="62"/>
      <c r="F764" s="5"/>
    </row>
    <row r="765" ht="15.75" customHeight="1">
      <c r="B765" s="9"/>
      <c r="C765" s="10"/>
      <c r="D765" s="9"/>
      <c r="E765" s="62"/>
      <c r="F765" s="5"/>
    </row>
    <row r="766" ht="15.75" customHeight="1">
      <c r="B766" s="9"/>
      <c r="C766" s="10"/>
      <c r="D766" s="9"/>
      <c r="E766" s="62"/>
      <c r="F766" s="5"/>
    </row>
    <row r="767" ht="15.75" customHeight="1">
      <c r="B767" s="9"/>
      <c r="C767" s="10"/>
      <c r="D767" s="9"/>
      <c r="E767" s="62"/>
      <c r="F767" s="5"/>
    </row>
    <row r="768" ht="15.75" customHeight="1">
      <c r="B768" s="9"/>
      <c r="C768" s="10"/>
      <c r="D768" s="9"/>
      <c r="E768" s="62"/>
      <c r="F768" s="5"/>
    </row>
    <row r="769" ht="15.75" customHeight="1">
      <c r="B769" s="9"/>
      <c r="C769" s="10"/>
      <c r="D769" s="9"/>
      <c r="E769" s="62"/>
      <c r="F769" s="5"/>
    </row>
    <row r="770" ht="15.75" customHeight="1">
      <c r="B770" s="9"/>
      <c r="C770" s="10"/>
      <c r="D770" s="9"/>
      <c r="E770" s="62"/>
      <c r="F770" s="5"/>
    </row>
    <row r="771" ht="15.75" customHeight="1">
      <c r="B771" s="9"/>
      <c r="C771" s="10"/>
      <c r="D771" s="9"/>
      <c r="E771" s="62"/>
      <c r="F771" s="5"/>
    </row>
    <row r="772" ht="15.75" customHeight="1">
      <c r="B772" s="9"/>
      <c r="C772" s="10"/>
      <c r="D772" s="9"/>
      <c r="E772" s="62"/>
      <c r="F772" s="5"/>
    </row>
    <row r="773" ht="15.75" customHeight="1">
      <c r="B773" s="9"/>
      <c r="C773" s="10"/>
      <c r="D773" s="9"/>
      <c r="E773" s="62"/>
      <c r="F773" s="5"/>
    </row>
    <row r="774" ht="15.75" customHeight="1">
      <c r="B774" s="9"/>
      <c r="C774" s="10"/>
      <c r="D774" s="9"/>
      <c r="E774" s="62"/>
      <c r="F774" s="5"/>
    </row>
    <row r="775" ht="15.75" customHeight="1">
      <c r="B775" s="9"/>
      <c r="C775" s="10"/>
      <c r="D775" s="9"/>
      <c r="E775" s="62"/>
      <c r="F775" s="5"/>
    </row>
    <row r="776" ht="15.75" customHeight="1">
      <c r="B776" s="9"/>
      <c r="C776" s="10"/>
      <c r="D776" s="9"/>
      <c r="E776" s="62"/>
      <c r="F776" s="5"/>
    </row>
    <row r="777" ht="15.75" customHeight="1">
      <c r="B777" s="9"/>
      <c r="C777" s="10"/>
      <c r="D777" s="9"/>
      <c r="E777" s="62"/>
      <c r="F777" s="5"/>
    </row>
    <row r="778" ht="15.75" customHeight="1">
      <c r="B778" s="9"/>
      <c r="C778" s="10"/>
      <c r="D778" s="9"/>
      <c r="E778" s="62"/>
      <c r="F778" s="5"/>
    </row>
    <row r="779" ht="15.75" customHeight="1">
      <c r="B779" s="9"/>
      <c r="C779" s="10"/>
      <c r="D779" s="9"/>
      <c r="E779" s="62"/>
      <c r="F779" s="5"/>
    </row>
    <row r="780" ht="15.75" customHeight="1">
      <c r="B780" s="9"/>
      <c r="C780" s="10"/>
      <c r="D780" s="9"/>
      <c r="E780" s="62"/>
      <c r="F780" s="5"/>
    </row>
    <row r="781" ht="15.75" customHeight="1">
      <c r="B781" s="9"/>
      <c r="C781" s="10"/>
      <c r="D781" s="9"/>
      <c r="E781" s="62"/>
      <c r="F781" s="5"/>
    </row>
    <row r="782" ht="15.75" customHeight="1">
      <c r="B782" s="9"/>
      <c r="C782" s="10"/>
      <c r="D782" s="9"/>
      <c r="E782" s="62"/>
      <c r="F782" s="5"/>
    </row>
    <row r="783" ht="15.75" customHeight="1">
      <c r="B783" s="9"/>
      <c r="C783" s="10"/>
      <c r="D783" s="9"/>
      <c r="E783" s="62"/>
      <c r="F783" s="5"/>
    </row>
    <row r="784" ht="15.75" customHeight="1">
      <c r="B784" s="9"/>
      <c r="C784" s="10"/>
      <c r="D784" s="9"/>
      <c r="E784" s="62"/>
      <c r="F784" s="5"/>
    </row>
    <row r="785" ht="15.75" customHeight="1">
      <c r="B785" s="9"/>
      <c r="C785" s="10"/>
      <c r="D785" s="9"/>
      <c r="E785" s="62"/>
      <c r="F785" s="5"/>
    </row>
    <row r="786" ht="15.75" customHeight="1">
      <c r="B786" s="9"/>
      <c r="C786" s="10"/>
      <c r="D786" s="9"/>
      <c r="E786" s="62"/>
      <c r="F786" s="5"/>
    </row>
    <row r="787" ht="15.75" customHeight="1">
      <c r="B787" s="9"/>
      <c r="C787" s="10"/>
      <c r="D787" s="9"/>
      <c r="E787" s="62"/>
      <c r="F787" s="5"/>
    </row>
    <row r="788" ht="15.75" customHeight="1">
      <c r="B788" s="9"/>
      <c r="C788" s="10"/>
      <c r="D788" s="9"/>
      <c r="E788" s="62"/>
      <c r="F788" s="5"/>
    </row>
    <row r="789" ht="15.75" customHeight="1">
      <c r="B789" s="9"/>
      <c r="C789" s="10"/>
      <c r="D789" s="9"/>
      <c r="E789" s="62"/>
      <c r="F789" s="5"/>
    </row>
    <row r="790" ht="15.75" customHeight="1">
      <c r="B790" s="9"/>
      <c r="C790" s="10"/>
      <c r="D790" s="9"/>
      <c r="E790" s="62"/>
      <c r="F790" s="5"/>
    </row>
    <row r="791" ht="15.75" customHeight="1">
      <c r="B791" s="9"/>
      <c r="C791" s="10"/>
      <c r="D791" s="9"/>
      <c r="E791" s="62"/>
      <c r="F791" s="5"/>
    </row>
    <row r="792" ht="15.75" customHeight="1">
      <c r="B792" s="9"/>
      <c r="C792" s="10"/>
      <c r="D792" s="9"/>
      <c r="E792" s="62"/>
      <c r="F792" s="5"/>
    </row>
    <row r="793" ht="15.75" customHeight="1">
      <c r="B793" s="9"/>
      <c r="C793" s="10"/>
      <c r="D793" s="9"/>
      <c r="E793" s="62"/>
      <c r="F793" s="5"/>
    </row>
    <row r="794" ht="15.75" customHeight="1">
      <c r="B794" s="9"/>
      <c r="C794" s="10"/>
      <c r="D794" s="9"/>
      <c r="E794" s="62"/>
      <c r="F794" s="5"/>
    </row>
    <row r="795" ht="15.75" customHeight="1">
      <c r="B795" s="9"/>
      <c r="C795" s="10"/>
      <c r="D795" s="9"/>
      <c r="E795" s="62"/>
      <c r="F795" s="5"/>
    </row>
    <row r="796" ht="15.75" customHeight="1">
      <c r="B796" s="9"/>
      <c r="C796" s="10"/>
      <c r="D796" s="9"/>
      <c r="E796" s="62"/>
      <c r="F796" s="5"/>
    </row>
    <row r="797" ht="15.75" customHeight="1">
      <c r="B797" s="9"/>
      <c r="C797" s="10"/>
      <c r="D797" s="9"/>
      <c r="E797" s="62"/>
      <c r="F797" s="5"/>
    </row>
    <row r="798" ht="15.75" customHeight="1">
      <c r="B798" s="9"/>
      <c r="C798" s="10"/>
      <c r="D798" s="9"/>
      <c r="E798" s="62"/>
      <c r="F798" s="5"/>
    </row>
    <row r="799" ht="15.75" customHeight="1">
      <c r="B799" s="9"/>
      <c r="C799" s="10"/>
      <c r="D799" s="9"/>
      <c r="E799" s="62"/>
      <c r="F799" s="5"/>
    </row>
    <row r="800" ht="15.75" customHeight="1">
      <c r="B800" s="9"/>
      <c r="C800" s="10"/>
      <c r="D800" s="9"/>
      <c r="E800" s="62"/>
      <c r="F800" s="5"/>
    </row>
    <row r="801" ht="15.75" customHeight="1">
      <c r="B801" s="9"/>
      <c r="C801" s="10"/>
      <c r="D801" s="9"/>
      <c r="E801" s="62"/>
      <c r="F801" s="5"/>
    </row>
    <row r="802" ht="15.75" customHeight="1">
      <c r="B802" s="9"/>
      <c r="C802" s="10"/>
      <c r="D802" s="9"/>
      <c r="E802" s="62"/>
      <c r="F802" s="5"/>
    </row>
    <row r="803" ht="15.75" customHeight="1">
      <c r="B803" s="9"/>
      <c r="C803" s="10"/>
      <c r="D803" s="9"/>
      <c r="E803" s="62"/>
      <c r="F803" s="5"/>
    </row>
    <row r="804" ht="15.75" customHeight="1">
      <c r="B804" s="9"/>
      <c r="C804" s="10"/>
      <c r="D804" s="9"/>
      <c r="E804" s="62"/>
      <c r="F804" s="5"/>
    </row>
    <row r="805" ht="15.75" customHeight="1">
      <c r="B805" s="9"/>
      <c r="C805" s="10"/>
      <c r="D805" s="9"/>
      <c r="E805" s="62"/>
      <c r="F805" s="5"/>
    </row>
    <row r="806" ht="15.75" customHeight="1">
      <c r="B806" s="9"/>
      <c r="C806" s="10"/>
      <c r="D806" s="9"/>
      <c r="E806" s="62"/>
      <c r="F806" s="5"/>
    </row>
    <row r="807" ht="15.75" customHeight="1">
      <c r="B807" s="9"/>
      <c r="C807" s="10"/>
      <c r="D807" s="9"/>
      <c r="E807" s="62"/>
      <c r="F807" s="5"/>
    </row>
    <row r="808" ht="15.75" customHeight="1">
      <c r="B808" s="9"/>
      <c r="C808" s="10"/>
      <c r="D808" s="9"/>
      <c r="E808" s="62"/>
      <c r="F808" s="5"/>
    </row>
    <row r="809" ht="15.75" customHeight="1">
      <c r="B809" s="9"/>
      <c r="C809" s="10"/>
      <c r="D809" s="9"/>
      <c r="E809" s="62"/>
      <c r="F809" s="5"/>
    </row>
    <row r="810" ht="15.75" customHeight="1">
      <c r="B810" s="9"/>
      <c r="C810" s="10"/>
      <c r="D810" s="9"/>
      <c r="E810" s="62"/>
      <c r="F810" s="5"/>
    </row>
    <row r="811" ht="15.75" customHeight="1">
      <c r="B811" s="9"/>
      <c r="C811" s="10"/>
      <c r="D811" s="9"/>
      <c r="E811" s="62"/>
      <c r="F811" s="5"/>
    </row>
    <row r="812" ht="15.75" customHeight="1">
      <c r="B812" s="9"/>
      <c r="C812" s="10"/>
      <c r="D812" s="9"/>
      <c r="E812" s="62"/>
      <c r="F812" s="5"/>
    </row>
    <row r="813" ht="15.75" customHeight="1">
      <c r="B813" s="9"/>
      <c r="C813" s="10"/>
      <c r="D813" s="9"/>
      <c r="E813" s="62"/>
      <c r="F813" s="5"/>
    </row>
    <row r="814" ht="15.75" customHeight="1">
      <c r="B814" s="9"/>
      <c r="C814" s="10"/>
      <c r="D814" s="9"/>
      <c r="E814" s="62"/>
      <c r="F814" s="5"/>
    </row>
    <row r="815" ht="15.75" customHeight="1">
      <c r="B815" s="9"/>
      <c r="C815" s="10"/>
      <c r="D815" s="9"/>
      <c r="E815" s="62"/>
      <c r="F815" s="5"/>
    </row>
    <row r="816" ht="15.75" customHeight="1">
      <c r="B816" s="9"/>
      <c r="C816" s="10"/>
      <c r="D816" s="9"/>
      <c r="E816" s="62"/>
      <c r="F816" s="5"/>
    </row>
    <row r="817" ht="15.75" customHeight="1">
      <c r="B817" s="9"/>
      <c r="C817" s="10"/>
      <c r="D817" s="9"/>
      <c r="E817" s="62"/>
      <c r="F817" s="5"/>
    </row>
    <row r="818" ht="15.75" customHeight="1">
      <c r="B818" s="9"/>
      <c r="C818" s="10"/>
      <c r="D818" s="9"/>
      <c r="E818" s="62"/>
      <c r="F818" s="5"/>
    </row>
    <row r="819" ht="15.75" customHeight="1">
      <c r="B819" s="9"/>
      <c r="C819" s="10"/>
      <c r="D819" s="9"/>
      <c r="E819" s="62"/>
      <c r="F819" s="5"/>
    </row>
    <row r="820" ht="15.75" customHeight="1">
      <c r="B820" s="9"/>
      <c r="C820" s="10"/>
      <c r="D820" s="9"/>
      <c r="E820" s="62"/>
      <c r="F820" s="5"/>
    </row>
    <row r="821" ht="15.75" customHeight="1">
      <c r="B821" s="9"/>
      <c r="C821" s="10"/>
      <c r="D821" s="9"/>
      <c r="E821" s="62"/>
      <c r="F821" s="5"/>
    </row>
    <row r="822" ht="15.75" customHeight="1">
      <c r="B822" s="9"/>
      <c r="C822" s="10"/>
      <c r="D822" s="9"/>
      <c r="E822" s="62"/>
      <c r="F822" s="5"/>
    </row>
    <row r="823" ht="15.75" customHeight="1">
      <c r="B823" s="9"/>
      <c r="C823" s="10"/>
      <c r="D823" s="9"/>
      <c r="E823" s="62"/>
      <c r="F823" s="5"/>
    </row>
    <row r="824" ht="15.75" customHeight="1">
      <c r="B824" s="9"/>
      <c r="C824" s="10"/>
      <c r="D824" s="9"/>
      <c r="E824" s="62"/>
      <c r="F824" s="5"/>
    </row>
    <row r="825" ht="15.75" customHeight="1">
      <c r="B825" s="9"/>
      <c r="C825" s="10"/>
      <c r="D825" s="9"/>
      <c r="E825" s="62"/>
      <c r="F825" s="5"/>
    </row>
    <row r="826" ht="15.75" customHeight="1">
      <c r="B826" s="9"/>
      <c r="C826" s="10"/>
      <c r="D826" s="9"/>
      <c r="E826" s="62"/>
      <c r="F826" s="5"/>
    </row>
    <row r="827" ht="15.75" customHeight="1">
      <c r="B827" s="9"/>
      <c r="C827" s="10"/>
      <c r="D827" s="9"/>
      <c r="E827" s="62"/>
      <c r="F827" s="5"/>
    </row>
    <row r="828" ht="15.75" customHeight="1">
      <c r="B828" s="9"/>
      <c r="C828" s="10"/>
      <c r="D828" s="9"/>
      <c r="E828" s="62"/>
      <c r="F828" s="5"/>
    </row>
    <row r="829" ht="15.75" customHeight="1">
      <c r="B829" s="9"/>
      <c r="C829" s="10"/>
      <c r="D829" s="9"/>
      <c r="E829" s="62"/>
      <c r="F829" s="5"/>
    </row>
    <row r="830" ht="15.75" customHeight="1">
      <c r="B830" s="9"/>
      <c r="C830" s="10"/>
      <c r="D830" s="9"/>
      <c r="E830" s="62"/>
      <c r="F830" s="5"/>
    </row>
    <row r="831" ht="15.75" customHeight="1">
      <c r="B831" s="9"/>
      <c r="C831" s="10"/>
      <c r="D831" s="9"/>
      <c r="E831" s="62"/>
      <c r="F831" s="5"/>
    </row>
    <row r="832" ht="15.75" customHeight="1">
      <c r="B832" s="9"/>
      <c r="C832" s="10"/>
      <c r="D832" s="9"/>
      <c r="E832" s="62"/>
      <c r="F832" s="5"/>
    </row>
    <row r="833" ht="15.75" customHeight="1">
      <c r="B833" s="9"/>
      <c r="C833" s="10"/>
      <c r="D833" s="9"/>
      <c r="E833" s="62"/>
      <c r="F833" s="5"/>
    </row>
    <row r="834" ht="15.75" customHeight="1">
      <c r="B834" s="9"/>
      <c r="C834" s="10"/>
      <c r="D834" s="9"/>
      <c r="E834" s="62"/>
      <c r="F834" s="5"/>
    </row>
    <row r="835" ht="15.75" customHeight="1">
      <c r="B835" s="9"/>
      <c r="C835" s="10"/>
      <c r="D835" s="9"/>
      <c r="E835" s="62"/>
      <c r="F835" s="5"/>
    </row>
    <row r="836" ht="15.75" customHeight="1">
      <c r="B836" s="9"/>
      <c r="C836" s="10"/>
      <c r="D836" s="9"/>
      <c r="E836" s="62"/>
      <c r="F836" s="5"/>
    </row>
    <row r="837" ht="15.75" customHeight="1">
      <c r="B837" s="9"/>
      <c r="C837" s="10"/>
      <c r="D837" s="9"/>
      <c r="E837" s="62"/>
      <c r="F837" s="5"/>
    </row>
    <row r="838" ht="15.75" customHeight="1">
      <c r="B838" s="9"/>
      <c r="C838" s="10"/>
      <c r="D838" s="9"/>
      <c r="E838" s="62"/>
      <c r="F838" s="5"/>
    </row>
    <row r="839" ht="15.75" customHeight="1">
      <c r="B839" s="9"/>
      <c r="C839" s="10"/>
      <c r="D839" s="9"/>
      <c r="E839" s="62"/>
      <c r="F839" s="5"/>
    </row>
    <row r="840" ht="15.75" customHeight="1">
      <c r="B840" s="9"/>
      <c r="C840" s="10"/>
      <c r="D840" s="9"/>
      <c r="E840" s="62"/>
      <c r="F840" s="5"/>
    </row>
    <row r="841" ht="15.75" customHeight="1">
      <c r="B841" s="9"/>
      <c r="C841" s="10"/>
      <c r="D841" s="9"/>
      <c r="E841" s="62"/>
      <c r="F841" s="5"/>
    </row>
    <row r="842" ht="15.75" customHeight="1">
      <c r="B842" s="9"/>
      <c r="C842" s="10"/>
      <c r="D842" s="9"/>
      <c r="E842" s="62"/>
      <c r="F842" s="5"/>
    </row>
    <row r="843" ht="15.75" customHeight="1">
      <c r="B843" s="9"/>
      <c r="C843" s="10"/>
      <c r="D843" s="9"/>
      <c r="E843" s="62"/>
      <c r="F843" s="5"/>
    </row>
    <row r="844" ht="15.75" customHeight="1">
      <c r="B844" s="9"/>
      <c r="C844" s="10"/>
      <c r="D844" s="9"/>
      <c r="E844" s="62"/>
      <c r="F844" s="5"/>
    </row>
    <row r="845" ht="15.75" customHeight="1">
      <c r="B845" s="9"/>
      <c r="C845" s="10"/>
      <c r="D845" s="9"/>
      <c r="E845" s="62"/>
      <c r="F845" s="5"/>
    </row>
    <row r="846" ht="15.75" customHeight="1">
      <c r="B846" s="9"/>
      <c r="C846" s="10"/>
      <c r="D846" s="9"/>
      <c r="E846" s="62"/>
      <c r="F846" s="5"/>
    </row>
    <row r="847" ht="15.75" customHeight="1">
      <c r="B847" s="9"/>
      <c r="C847" s="10"/>
      <c r="D847" s="9"/>
      <c r="E847" s="62"/>
      <c r="F847" s="5"/>
    </row>
    <row r="848" ht="15.75" customHeight="1">
      <c r="B848" s="9"/>
      <c r="C848" s="10"/>
      <c r="D848" s="9"/>
      <c r="E848" s="62"/>
      <c r="F848" s="5"/>
    </row>
    <row r="849" ht="15.75" customHeight="1">
      <c r="B849" s="9"/>
      <c r="C849" s="10"/>
      <c r="D849" s="9"/>
      <c r="E849" s="62"/>
      <c r="F849" s="5"/>
    </row>
    <row r="850" ht="15.75" customHeight="1">
      <c r="B850" s="9"/>
      <c r="C850" s="10"/>
      <c r="D850" s="9"/>
      <c r="E850" s="62"/>
      <c r="F850" s="5"/>
    </row>
    <row r="851" ht="15.75" customHeight="1">
      <c r="B851" s="9"/>
      <c r="C851" s="10"/>
      <c r="D851" s="9"/>
      <c r="E851" s="62"/>
      <c r="F851" s="5"/>
    </row>
    <row r="852" ht="15.75" customHeight="1">
      <c r="B852" s="9"/>
      <c r="C852" s="10"/>
      <c r="D852" s="9"/>
      <c r="E852" s="62"/>
      <c r="F852" s="5"/>
    </row>
    <row r="853" ht="15.75" customHeight="1">
      <c r="B853" s="9"/>
      <c r="C853" s="10"/>
      <c r="D853" s="9"/>
      <c r="E853" s="62"/>
      <c r="F853" s="5"/>
    </row>
    <row r="854" ht="15.75" customHeight="1">
      <c r="B854" s="9"/>
      <c r="C854" s="10"/>
      <c r="D854" s="9"/>
      <c r="E854" s="62"/>
      <c r="F854" s="5"/>
    </row>
    <row r="855" ht="15.75" customHeight="1">
      <c r="B855" s="9"/>
      <c r="C855" s="10"/>
      <c r="D855" s="9"/>
      <c r="E855" s="62"/>
      <c r="F855" s="5"/>
    </row>
    <row r="856" ht="15.75" customHeight="1">
      <c r="B856" s="9"/>
      <c r="C856" s="10"/>
      <c r="D856" s="9"/>
      <c r="E856" s="62"/>
      <c r="F856" s="5"/>
    </row>
    <row r="857" ht="15.75" customHeight="1">
      <c r="B857" s="9"/>
      <c r="C857" s="10"/>
      <c r="D857" s="9"/>
      <c r="E857" s="62"/>
      <c r="F857" s="5"/>
    </row>
    <row r="858" ht="15.75" customHeight="1">
      <c r="B858" s="9"/>
      <c r="C858" s="10"/>
      <c r="D858" s="9"/>
      <c r="E858" s="62"/>
      <c r="F858" s="5"/>
    </row>
    <row r="859" ht="15.75" customHeight="1">
      <c r="B859" s="9"/>
      <c r="C859" s="10"/>
      <c r="D859" s="9"/>
      <c r="E859" s="62"/>
      <c r="F859" s="5"/>
    </row>
    <row r="860" ht="15.75" customHeight="1">
      <c r="B860" s="9"/>
      <c r="C860" s="10"/>
      <c r="D860" s="9"/>
      <c r="E860" s="62"/>
      <c r="F860" s="5"/>
    </row>
    <row r="861" ht="15.75" customHeight="1">
      <c r="B861" s="9"/>
      <c r="C861" s="10"/>
      <c r="D861" s="9"/>
      <c r="E861" s="62"/>
      <c r="F861" s="5"/>
    </row>
    <row r="862" ht="15.75" customHeight="1">
      <c r="B862" s="9"/>
      <c r="C862" s="10"/>
      <c r="D862" s="9"/>
      <c r="E862" s="62"/>
      <c r="F862" s="5"/>
    </row>
    <row r="863" ht="15.75" customHeight="1">
      <c r="B863" s="9"/>
      <c r="C863" s="10"/>
      <c r="D863" s="9"/>
      <c r="E863" s="62"/>
      <c r="F863" s="5"/>
    </row>
    <row r="864" ht="15.75" customHeight="1">
      <c r="B864" s="9"/>
      <c r="C864" s="10"/>
      <c r="D864" s="9"/>
      <c r="E864" s="62"/>
      <c r="F864" s="5"/>
    </row>
    <row r="865" ht="15.75" customHeight="1">
      <c r="B865" s="9"/>
      <c r="C865" s="10"/>
      <c r="D865" s="9"/>
      <c r="E865" s="62"/>
      <c r="F865" s="5"/>
    </row>
    <row r="866" ht="15.75" customHeight="1">
      <c r="B866" s="9"/>
      <c r="C866" s="10"/>
      <c r="D866" s="9"/>
      <c r="E866" s="62"/>
      <c r="F866" s="5"/>
    </row>
    <row r="867" ht="15.75" customHeight="1">
      <c r="B867" s="9"/>
      <c r="C867" s="10"/>
      <c r="D867" s="9"/>
      <c r="E867" s="62"/>
      <c r="F867" s="5"/>
    </row>
    <row r="868" ht="15.75" customHeight="1">
      <c r="B868" s="9"/>
      <c r="C868" s="10"/>
      <c r="D868" s="9"/>
      <c r="E868" s="62"/>
      <c r="F868" s="5"/>
    </row>
    <row r="869" ht="15.75" customHeight="1">
      <c r="B869" s="9"/>
      <c r="C869" s="10"/>
      <c r="D869" s="9"/>
      <c r="E869" s="62"/>
      <c r="F869" s="5"/>
    </row>
    <row r="870" ht="15.75" customHeight="1">
      <c r="B870" s="9"/>
      <c r="C870" s="10"/>
      <c r="D870" s="9"/>
      <c r="E870" s="62"/>
      <c r="F870" s="5"/>
    </row>
    <row r="871" ht="15.75" customHeight="1">
      <c r="B871" s="9"/>
      <c r="C871" s="10"/>
      <c r="D871" s="9"/>
      <c r="E871" s="62"/>
      <c r="F871" s="5"/>
    </row>
    <row r="872" ht="15.75" customHeight="1">
      <c r="B872" s="9"/>
      <c r="C872" s="10"/>
      <c r="D872" s="9"/>
      <c r="E872" s="62"/>
      <c r="F872" s="5"/>
    </row>
    <row r="873" ht="15.75" customHeight="1">
      <c r="B873" s="9"/>
      <c r="C873" s="10"/>
      <c r="D873" s="9"/>
      <c r="E873" s="62"/>
      <c r="F873" s="5"/>
    </row>
    <row r="874" ht="15.75" customHeight="1">
      <c r="B874" s="9"/>
      <c r="C874" s="10"/>
      <c r="D874" s="9"/>
      <c r="E874" s="62"/>
      <c r="F874" s="5"/>
    </row>
    <row r="875" ht="15.75" customHeight="1">
      <c r="B875" s="9"/>
      <c r="C875" s="10"/>
      <c r="D875" s="9"/>
      <c r="E875" s="62"/>
      <c r="F875" s="5"/>
    </row>
    <row r="876" ht="15.75" customHeight="1">
      <c r="B876" s="9"/>
      <c r="C876" s="10"/>
      <c r="D876" s="9"/>
      <c r="E876" s="62"/>
      <c r="F876" s="5"/>
    </row>
    <row r="877" ht="15.75" customHeight="1">
      <c r="B877" s="9"/>
      <c r="C877" s="10"/>
      <c r="D877" s="9"/>
      <c r="E877" s="62"/>
      <c r="F877" s="5"/>
    </row>
    <row r="878" ht="15.75" customHeight="1">
      <c r="B878" s="9"/>
      <c r="C878" s="10"/>
      <c r="D878" s="9"/>
      <c r="E878" s="62"/>
      <c r="F878" s="5"/>
    </row>
    <row r="879" ht="15.75" customHeight="1">
      <c r="B879" s="9"/>
      <c r="C879" s="10"/>
      <c r="D879" s="9"/>
      <c r="E879" s="62"/>
      <c r="F879" s="5"/>
    </row>
    <row r="880" ht="15.75" customHeight="1">
      <c r="B880" s="9"/>
      <c r="C880" s="10"/>
      <c r="D880" s="9"/>
      <c r="E880" s="62"/>
      <c r="F880" s="5"/>
    </row>
    <row r="881" ht="15.75" customHeight="1">
      <c r="B881" s="9"/>
      <c r="C881" s="10"/>
      <c r="D881" s="9"/>
      <c r="E881" s="62"/>
      <c r="F881" s="5"/>
    </row>
    <row r="882" ht="15.75" customHeight="1">
      <c r="B882" s="9"/>
      <c r="C882" s="10"/>
      <c r="D882" s="9"/>
      <c r="E882" s="62"/>
      <c r="F882" s="5"/>
    </row>
    <row r="883" ht="15.75" customHeight="1">
      <c r="B883" s="9"/>
      <c r="C883" s="10"/>
      <c r="D883" s="9"/>
      <c r="E883" s="62"/>
      <c r="F883" s="5"/>
    </row>
    <row r="884" ht="15.75" customHeight="1">
      <c r="B884" s="9"/>
      <c r="C884" s="10"/>
      <c r="D884" s="9"/>
      <c r="E884" s="62"/>
      <c r="F884" s="5"/>
    </row>
    <row r="885" ht="15.75" customHeight="1">
      <c r="B885" s="9"/>
      <c r="C885" s="10"/>
      <c r="D885" s="9"/>
      <c r="E885" s="62"/>
      <c r="F885" s="5"/>
    </row>
    <row r="886" ht="15.75" customHeight="1">
      <c r="B886" s="9"/>
      <c r="C886" s="10"/>
      <c r="D886" s="9"/>
      <c r="E886" s="62"/>
      <c r="F886" s="5"/>
    </row>
    <row r="887" ht="15.75" customHeight="1">
      <c r="B887" s="9"/>
      <c r="C887" s="10"/>
      <c r="D887" s="9"/>
      <c r="E887" s="62"/>
      <c r="F887" s="5"/>
    </row>
    <row r="888" ht="15.75" customHeight="1">
      <c r="B888" s="9"/>
      <c r="C888" s="10"/>
      <c r="D888" s="9"/>
      <c r="E888" s="62"/>
      <c r="F888" s="5"/>
    </row>
    <row r="889" ht="15.75" customHeight="1">
      <c r="B889" s="9"/>
      <c r="C889" s="10"/>
      <c r="D889" s="9"/>
      <c r="E889" s="62"/>
      <c r="F889" s="5"/>
    </row>
    <row r="890" ht="15.75" customHeight="1">
      <c r="B890" s="9"/>
      <c r="C890" s="10"/>
      <c r="D890" s="9"/>
      <c r="E890" s="62"/>
      <c r="F890" s="5"/>
    </row>
    <row r="891" ht="15.75" customHeight="1">
      <c r="B891" s="9"/>
      <c r="C891" s="10"/>
      <c r="D891" s="9"/>
      <c r="E891" s="62"/>
      <c r="F891" s="5"/>
    </row>
    <row r="892" ht="15.75" customHeight="1">
      <c r="B892" s="9"/>
      <c r="C892" s="10"/>
      <c r="D892" s="9"/>
      <c r="E892" s="62"/>
      <c r="F892" s="5"/>
    </row>
    <row r="893" ht="15.75" customHeight="1">
      <c r="B893" s="9"/>
      <c r="C893" s="10"/>
      <c r="D893" s="9"/>
      <c r="E893" s="62"/>
      <c r="F893" s="5"/>
    </row>
    <row r="894" ht="15.75" customHeight="1">
      <c r="B894" s="9"/>
      <c r="C894" s="10"/>
      <c r="D894" s="9"/>
      <c r="E894" s="62"/>
      <c r="F894" s="5"/>
    </row>
    <row r="895" ht="15.75" customHeight="1">
      <c r="B895" s="9"/>
      <c r="C895" s="10"/>
      <c r="D895" s="9"/>
      <c r="E895" s="62"/>
      <c r="F895" s="5"/>
    </row>
    <row r="896" ht="15.75" customHeight="1">
      <c r="B896" s="9"/>
      <c r="C896" s="10"/>
      <c r="D896" s="9"/>
      <c r="E896" s="62"/>
      <c r="F896" s="5"/>
    </row>
    <row r="897" ht="15.75" customHeight="1">
      <c r="B897" s="9"/>
      <c r="C897" s="10"/>
      <c r="D897" s="9"/>
      <c r="E897" s="62"/>
      <c r="F897" s="5"/>
    </row>
    <row r="898" ht="15.75" customHeight="1">
      <c r="B898" s="9"/>
      <c r="C898" s="10"/>
      <c r="D898" s="9"/>
      <c r="E898" s="62"/>
      <c r="F898" s="5"/>
    </row>
    <row r="899" ht="15.75" customHeight="1">
      <c r="B899" s="9"/>
      <c r="C899" s="10"/>
      <c r="D899" s="9"/>
      <c r="E899" s="62"/>
      <c r="F899" s="5"/>
    </row>
    <row r="900" ht="15.75" customHeight="1">
      <c r="B900" s="9"/>
      <c r="C900" s="10"/>
      <c r="D900" s="9"/>
      <c r="E900" s="62"/>
      <c r="F900" s="5"/>
    </row>
    <row r="901" ht="15.75" customHeight="1">
      <c r="B901" s="9"/>
      <c r="C901" s="10"/>
      <c r="D901" s="9"/>
      <c r="E901" s="62"/>
      <c r="F901" s="5"/>
    </row>
    <row r="902" ht="15.75" customHeight="1">
      <c r="B902" s="9"/>
      <c r="C902" s="10"/>
      <c r="D902" s="9"/>
      <c r="E902" s="62"/>
      <c r="F902" s="5"/>
    </row>
    <row r="903" ht="15.75" customHeight="1">
      <c r="B903" s="9"/>
      <c r="C903" s="10"/>
      <c r="D903" s="9"/>
      <c r="E903" s="62"/>
      <c r="F903" s="5"/>
    </row>
    <row r="904" ht="15.75" customHeight="1">
      <c r="B904" s="9"/>
      <c r="C904" s="10"/>
      <c r="D904" s="9"/>
      <c r="E904" s="62"/>
      <c r="F904" s="5"/>
    </row>
    <row r="905" ht="15.75" customHeight="1">
      <c r="B905" s="9"/>
      <c r="C905" s="10"/>
      <c r="D905" s="9"/>
      <c r="E905" s="62"/>
      <c r="F905" s="5"/>
    </row>
    <row r="906" ht="15.75" customHeight="1">
      <c r="B906" s="9"/>
      <c r="C906" s="10"/>
      <c r="D906" s="9"/>
      <c r="E906" s="62"/>
      <c r="F906" s="5"/>
    </row>
    <row r="907" ht="15.75" customHeight="1">
      <c r="B907" s="9"/>
      <c r="C907" s="10"/>
      <c r="D907" s="9"/>
      <c r="E907" s="62"/>
      <c r="F907" s="5"/>
    </row>
    <row r="908" ht="15.75" customHeight="1">
      <c r="B908" s="9"/>
      <c r="C908" s="10"/>
      <c r="D908" s="9"/>
      <c r="E908" s="62"/>
      <c r="F908" s="5"/>
    </row>
    <row r="909" ht="15.75" customHeight="1">
      <c r="B909" s="9"/>
      <c r="C909" s="10"/>
      <c r="D909" s="9"/>
      <c r="E909" s="62"/>
      <c r="F909" s="5"/>
    </row>
    <row r="910" ht="15.75" customHeight="1">
      <c r="B910" s="9"/>
      <c r="C910" s="10"/>
      <c r="D910" s="9"/>
      <c r="E910" s="62"/>
      <c r="F910" s="5"/>
    </row>
    <row r="911" ht="15.75" customHeight="1">
      <c r="B911" s="9"/>
      <c r="C911" s="10"/>
      <c r="D911" s="9"/>
      <c r="E911" s="62"/>
      <c r="F911" s="5"/>
    </row>
    <row r="912" ht="15.75" customHeight="1">
      <c r="B912" s="9"/>
      <c r="C912" s="10"/>
      <c r="D912" s="9"/>
      <c r="E912" s="62"/>
      <c r="F912" s="5"/>
    </row>
    <row r="913" ht="15.75" customHeight="1">
      <c r="B913" s="9"/>
      <c r="C913" s="10"/>
      <c r="D913" s="9"/>
      <c r="E913" s="62"/>
      <c r="F913" s="5"/>
    </row>
    <row r="914" ht="15.75" customHeight="1">
      <c r="B914" s="9"/>
      <c r="C914" s="10"/>
      <c r="D914" s="9"/>
      <c r="E914" s="62"/>
      <c r="F914" s="5"/>
    </row>
    <row r="915" ht="15.75" customHeight="1">
      <c r="B915" s="9"/>
      <c r="C915" s="10"/>
      <c r="D915" s="9"/>
      <c r="E915" s="62"/>
      <c r="F915" s="5"/>
    </row>
    <row r="916" ht="15.75" customHeight="1">
      <c r="B916" s="9"/>
      <c r="C916" s="10"/>
      <c r="D916" s="9"/>
      <c r="E916" s="62"/>
      <c r="F916" s="5"/>
    </row>
    <row r="917" ht="15.75" customHeight="1">
      <c r="B917" s="9"/>
      <c r="C917" s="10"/>
      <c r="D917" s="9"/>
      <c r="E917" s="62"/>
      <c r="F917" s="5"/>
    </row>
    <row r="918" ht="15.75" customHeight="1">
      <c r="B918" s="9"/>
      <c r="C918" s="10"/>
      <c r="D918" s="9"/>
      <c r="E918" s="62"/>
      <c r="F918" s="5"/>
    </row>
    <row r="919" ht="15.75" customHeight="1">
      <c r="B919" s="9"/>
      <c r="C919" s="10"/>
      <c r="D919" s="9"/>
      <c r="E919" s="62"/>
      <c r="F919" s="5"/>
    </row>
    <row r="920" ht="15.75" customHeight="1">
      <c r="B920" s="9"/>
      <c r="C920" s="10"/>
      <c r="D920" s="9"/>
      <c r="E920" s="62"/>
      <c r="F920" s="5"/>
    </row>
    <row r="921" ht="15.75" customHeight="1">
      <c r="B921" s="9"/>
      <c r="C921" s="10"/>
      <c r="D921" s="9"/>
      <c r="E921" s="62"/>
      <c r="F921" s="5"/>
    </row>
    <row r="922" ht="15.75" customHeight="1">
      <c r="B922" s="9"/>
      <c r="C922" s="10"/>
      <c r="D922" s="9"/>
      <c r="E922" s="62"/>
      <c r="F922" s="5"/>
    </row>
    <row r="923" ht="15.75" customHeight="1">
      <c r="B923" s="9"/>
      <c r="C923" s="10"/>
      <c r="D923" s="9"/>
      <c r="E923" s="62"/>
      <c r="F923" s="5"/>
    </row>
    <row r="924" ht="15.75" customHeight="1">
      <c r="B924" s="9"/>
      <c r="C924" s="10"/>
      <c r="D924" s="9"/>
      <c r="E924" s="62"/>
      <c r="F924" s="5"/>
    </row>
    <row r="925" ht="15.75" customHeight="1">
      <c r="B925" s="9"/>
      <c r="C925" s="10"/>
      <c r="D925" s="9"/>
      <c r="E925" s="62"/>
      <c r="F925" s="5"/>
    </row>
    <row r="926" ht="15.75" customHeight="1">
      <c r="B926" s="9"/>
      <c r="C926" s="10"/>
      <c r="D926" s="9"/>
      <c r="E926" s="62"/>
      <c r="F926" s="5"/>
    </row>
    <row r="927" ht="15.75" customHeight="1">
      <c r="B927" s="9"/>
      <c r="C927" s="10"/>
      <c r="D927" s="9"/>
      <c r="E927" s="62"/>
      <c r="F927" s="5"/>
    </row>
    <row r="928" ht="15.75" customHeight="1">
      <c r="B928" s="9"/>
      <c r="C928" s="10"/>
      <c r="D928" s="9"/>
      <c r="E928" s="62"/>
      <c r="F928" s="5"/>
    </row>
    <row r="929" ht="15.75" customHeight="1">
      <c r="B929" s="9"/>
      <c r="C929" s="10"/>
      <c r="D929" s="9"/>
      <c r="E929" s="62"/>
      <c r="F929" s="5"/>
    </row>
    <row r="930" ht="15.75" customHeight="1">
      <c r="B930" s="9"/>
      <c r="C930" s="10"/>
      <c r="D930" s="9"/>
      <c r="E930" s="62"/>
      <c r="F930" s="5"/>
    </row>
    <row r="931" ht="15.75" customHeight="1">
      <c r="B931" s="9"/>
      <c r="C931" s="10"/>
      <c r="D931" s="9"/>
      <c r="E931" s="62"/>
      <c r="F931" s="5"/>
    </row>
    <row r="932" ht="15.75" customHeight="1">
      <c r="B932" s="9"/>
      <c r="C932" s="10"/>
      <c r="D932" s="9"/>
      <c r="E932" s="62"/>
      <c r="F932" s="5"/>
    </row>
    <row r="933" ht="15.75" customHeight="1">
      <c r="B933" s="9"/>
      <c r="C933" s="10"/>
      <c r="D933" s="9"/>
      <c r="E933" s="62"/>
      <c r="F933" s="5"/>
    </row>
    <row r="934" ht="15.75" customHeight="1">
      <c r="B934" s="9"/>
      <c r="C934" s="10"/>
      <c r="D934" s="9"/>
      <c r="E934" s="62"/>
      <c r="F934" s="5"/>
    </row>
    <row r="935" ht="15.75" customHeight="1">
      <c r="B935" s="9"/>
      <c r="C935" s="10"/>
      <c r="D935" s="9"/>
      <c r="E935" s="62"/>
      <c r="F935" s="5"/>
    </row>
    <row r="936" ht="15.75" customHeight="1">
      <c r="B936" s="9"/>
      <c r="C936" s="10"/>
      <c r="D936" s="9"/>
      <c r="E936" s="62"/>
      <c r="F936" s="5"/>
    </row>
    <row r="937" ht="15.75" customHeight="1">
      <c r="B937" s="9"/>
      <c r="C937" s="10"/>
      <c r="D937" s="9"/>
      <c r="E937" s="62"/>
      <c r="F937" s="5"/>
    </row>
    <row r="938" ht="15.75" customHeight="1">
      <c r="B938" s="9"/>
      <c r="C938" s="10"/>
      <c r="D938" s="9"/>
      <c r="E938" s="62"/>
      <c r="F938" s="5"/>
    </row>
    <row r="939" ht="15.75" customHeight="1">
      <c r="B939" s="9"/>
      <c r="C939" s="10"/>
      <c r="D939" s="9"/>
      <c r="E939" s="62"/>
      <c r="F939" s="5"/>
    </row>
    <row r="940" ht="15.75" customHeight="1">
      <c r="B940" s="9"/>
      <c r="C940" s="10"/>
      <c r="D940" s="9"/>
      <c r="E940" s="62"/>
      <c r="F940" s="5"/>
    </row>
    <row r="941" ht="15.75" customHeight="1">
      <c r="B941" s="9"/>
      <c r="C941" s="10"/>
      <c r="D941" s="9"/>
      <c r="E941" s="62"/>
      <c r="F941" s="5"/>
    </row>
    <row r="942" ht="15.75" customHeight="1">
      <c r="B942" s="9"/>
      <c r="C942" s="10"/>
      <c r="D942" s="9"/>
      <c r="E942" s="62"/>
      <c r="F942" s="5"/>
    </row>
    <row r="943" ht="15.75" customHeight="1">
      <c r="B943" s="9"/>
      <c r="C943" s="10"/>
      <c r="D943" s="9"/>
      <c r="E943" s="62"/>
      <c r="F943" s="5"/>
    </row>
    <row r="944" ht="15.75" customHeight="1">
      <c r="B944" s="9"/>
      <c r="C944" s="10"/>
      <c r="D944" s="9"/>
      <c r="E944" s="62"/>
      <c r="F944" s="5"/>
    </row>
    <row r="945" ht="15.75" customHeight="1">
      <c r="B945" s="9"/>
      <c r="C945" s="10"/>
      <c r="D945" s="9"/>
      <c r="E945" s="62"/>
      <c r="F945" s="5"/>
    </row>
    <row r="946" ht="15.75" customHeight="1">
      <c r="B946" s="9"/>
      <c r="C946" s="10"/>
      <c r="D946" s="9"/>
      <c r="E946" s="62"/>
      <c r="F946" s="5"/>
    </row>
    <row r="947" ht="15.75" customHeight="1">
      <c r="B947" s="9"/>
      <c r="C947" s="10"/>
      <c r="D947" s="9"/>
      <c r="E947" s="62"/>
      <c r="F947" s="5"/>
    </row>
    <row r="948" ht="15.75" customHeight="1">
      <c r="B948" s="9"/>
      <c r="C948" s="10"/>
      <c r="D948" s="9"/>
      <c r="E948" s="62"/>
      <c r="F948" s="5"/>
    </row>
    <row r="949" ht="15.75" customHeight="1">
      <c r="B949" s="9"/>
      <c r="C949" s="10"/>
      <c r="D949" s="9"/>
      <c r="E949" s="62"/>
      <c r="F949" s="5"/>
    </row>
    <row r="950" ht="15.75" customHeight="1">
      <c r="B950" s="9"/>
      <c r="C950" s="10"/>
      <c r="D950" s="9"/>
      <c r="E950" s="62"/>
      <c r="F950" s="5"/>
    </row>
    <row r="951" ht="15.75" customHeight="1">
      <c r="B951" s="9"/>
      <c r="C951" s="10"/>
      <c r="D951" s="9"/>
      <c r="E951" s="62"/>
      <c r="F951" s="5"/>
    </row>
    <row r="952" ht="15.75" customHeight="1">
      <c r="B952" s="9"/>
      <c r="C952" s="10"/>
      <c r="D952" s="9"/>
      <c r="E952" s="62"/>
      <c r="F952" s="5"/>
    </row>
    <row r="953" ht="15.75" customHeight="1">
      <c r="B953" s="9"/>
      <c r="C953" s="10"/>
      <c r="D953" s="9"/>
      <c r="E953" s="62"/>
      <c r="F953" s="5"/>
    </row>
    <row r="954" ht="15.75" customHeight="1">
      <c r="B954" s="9"/>
      <c r="C954" s="10"/>
      <c r="D954" s="9"/>
      <c r="E954" s="62"/>
      <c r="F954" s="5"/>
    </row>
    <row r="955" ht="15.75" customHeight="1">
      <c r="B955" s="9"/>
      <c r="C955" s="10"/>
      <c r="D955" s="9"/>
      <c r="E955" s="62"/>
      <c r="F955" s="5"/>
    </row>
    <row r="956" ht="15.75" customHeight="1">
      <c r="B956" s="9"/>
      <c r="C956" s="10"/>
      <c r="D956" s="9"/>
      <c r="E956" s="62"/>
      <c r="F956" s="5"/>
    </row>
    <row r="957" ht="15.75" customHeight="1">
      <c r="B957" s="9"/>
      <c r="C957" s="10"/>
      <c r="D957" s="9"/>
      <c r="E957" s="62"/>
      <c r="F957" s="5"/>
    </row>
    <row r="958" ht="15.75" customHeight="1">
      <c r="B958" s="9"/>
      <c r="C958" s="10"/>
      <c r="D958" s="9"/>
      <c r="E958" s="62"/>
      <c r="F958" s="5"/>
    </row>
    <row r="959" ht="15.75" customHeight="1">
      <c r="B959" s="9"/>
      <c r="C959" s="10"/>
      <c r="D959" s="9"/>
      <c r="E959" s="62"/>
      <c r="F959" s="5"/>
    </row>
    <row r="960" ht="15.75" customHeight="1">
      <c r="B960" s="9"/>
      <c r="C960" s="10"/>
      <c r="D960" s="9"/>
      <c r="E960" s="62"/>
      <c r="F960" s="5"/>
    </row>
    <row r="961" ht="15.75" customHeight="1">
      <c r="B961" s="9"/>
      <c r="C961" s="10"/>
      <c r="D961" s="9"/>
      <c r="E961" s="62"/>
      <c r="F961" s="5"/>
    </row>
    <row r="962" ht="15.75" customHeight="1">
      <c r="B962" s="9"/>
      <c r="C962" s="10"/>
      <c r="D962" s="9"/>
      <c r="E962" s="62"/>
      <c r="F962" s="5"/>
    </row>
    <row r="963" ht="15.75" customHeight="1">
      <c r="B963" s="9"/>
      <c r="C963" s="10"/>
      <c r="D963" s="9"/>
      <c r="E963" s="62"/>
      <c r="F963" s="5"/>
    </row>
    <row r="964" ht="15.75" customHeight="1">
      <c r="B964" s="9"/>
      <c r="C964" s="10"/>
      <c r="D964" s="9"/>
      <c r="E964" s="62"/>
      <c r="F964" s="5"/>
    </row>
    <row r="965" ht="15.75" customHeight="1">
      <c r="B965" s="9"/>
      <c r="C965" s="10"/>
      <c r="D965" s="9"/>
      <c r="E965" s="62"/>
      <c r="F965" s="5"/>
    </row>
    <row r="966" ht="15.75" customHeight="1">
      <c r="B966" s="9"/>
      <c r="C966" s="10"/>
      <c r="D966" s="9"/>
      <c r="E966" s="62"/>
      <c r="F966" s="5"/>
    </row>
    <row r="967" ht="15.75" customHeight="1">
      <c r="B967" s="9"/>
      <c r="C967" s="10"/>
      <c r="D967" s="9"/>
      <c r="E967" s="62"/>
      <c r="F967" s="5"/>
    </row>
    <row r="968" ht="15.75" customHeight="1">
      <c r="B968" s="9"/>
      <c r="C968" s="10"/>
      <c r="D968" s="9"/>
      <c r="E968" s="62"/>
      <c r="F968" s="5"/>
    </row>
    <row r="969" ht="15.75" customHeight="1">
      <c r="B969" s="9"/>
      <c r="C969" s="10"/>
      <c r="D969" s="9"/>
      <c r="E969" s="62"/>
      <c r="F969" s="5"/>
    </row>
    <row r="970" ht="15.75" customHeight="1">
      <c r="B970" s="9"/>
      <c r="C970" s="10"/>
      <c r="D970" s="9"/>
      <c r="E970" s="62"/>
      <c r="F970" s="5"/>
    </row>
    <row r="971" ht="15.75" customHeight="1">
      <c r="B971" s="9"/>
      <c r="C971" s="10"/>
      <c r="D971" s="9"/>
      <c r="E971" s="62"/>
      <c r="F971" s="5"/>
    </row>
    <row r="972" ht="15.75" customHeight="1">
      <c r="B972" s="9"/>
      <c r="C972" s="10"/>
      <c r="D972" s="9"/>
      <c r="E972" s="62"/>
      <c r="F972" s="5"/>
    </row>
    <row r="973" ht="15.75" customHeight="1">
      <c r="B973" s="9"/>
      <c r="C973" s="10"/>
      <c r="D973" s="9"/>
      <c r="E973" s="62"/>
      <c r="F973" s="5"/>
    </row>
    <row r="974" ht="15.75" customHeight="1">
      <c r="B974" s="9"/>
      <c r="C974" s="10"/>
      <c r="D974" s="9"/>
      <c r="E974" s="62"/>
      <c r="F974" s="5"/>
    </row>
    <row r="975" ht="15.75" customHeight="1">
      <c r="B975" s="9"/>
      <c r="C975" s="10"/>
      <c r="D975" s="9"/>
      <c r="E975" s="62"/>
      <c r="F975" s="5"/>
    </row>
    <row r="976" ht="15.75" customHeight="1">
      <c r="B976" s="9"/>
      <c r="C976" s="10"/>
      <c r="D976" s="9"/>
      <c r="E976" s="62"/>
      <c r="F976" s="5"/>
    </row>
    <row r="977" ht="15.75" customHeight="1">
      <c r="B977" s="9"/>
      <c r="C977" s="10"/>
      <c r="D977" s="9"/>
      <c r="E977" s="62"/>
      <c r="F977" s="5"/>
    </row>
    <row r="978" ht="15.75" customHeight="1">
      <c r="B978" s="9"/>
      <c r="C978" s="10"/>
      <c r="D978" s="9"/>
      <c r="E978" s="62"/>
      <c r="F978" s="5"/>
    </row>
    <row r="979" ht="15.75" customHeight="1">
      <c r="B979" s="9"/>
      <c r="C979" s="10"/>
      <c r="D979" s="9"/>
      <c r="E979" s="62"/>
      <c r="F979" s="5"/>
    </row>
    <row r="980" ht="15.75" customHeight="1">
      <c r="B980" s="9"/>
      <c r="C980" s="10"/>
      <c r="D980" s="9"/>
      <c r="E980" s="62"/>
      <c r="F980" s="5"/>
    </row>
    <row r="981" ht="15.75" customHeight="1">
      <c r="B981" s="9"/>
      <c r="C981" s="10"/>
      <c r="D981" s="9"/>
      <c r="E981" s="62"/>
      <c r="F981" s="5"/>
    </row>
    <row r="982" ht="15.75" customHeight="1">
      <c r="B982" s="9"/>
      <c r="C982" s="10"/>
      <c r="D982" s="9"/>
      <c r="E982" s="62"/>
      <c r="F982" s="5"/>
    </row>
    <row r="983" ht="15.75" customHeight="1">
      <c r="B983" s="9"/>
      <c r="C983" s="10"/>
      <c r="D983" s="9"/>
      <c r="E983" s="62"/>
      <c r="F983" s="5"/>
    </row>
    <row r="984" ht="15.75" customHeight="1">
      <c r="B984" s="9"/>
      <c r="C984" s="10"/>
      <c r="D984" s="9"/>
      <c r="E984" s="62"/>
      <c r="F984" s="5"/>
    </row>
    <row r="985" ht="15.75" customHeight="1">
      <c r="B985" s="9"/>
      <c r="C985" s="10"/>
      <c r="D985" s="9"/>
      <c r="E985" s="62"/>
      <c r="F985" s="5"/>
    </row>
    <row r="986" ht="15.75" customHeight="1">
      <c r="B986" s="9"/>
      <c r="C986" s="10"/>
      <c r="D986" s="9"/>
      <c r="E986" s="62"/>
      <c r="F986" s="5"/>
    </row>
    <row r="987" ht="15.75" customHeight="1">
      <c r="B987" s="9"/>
      <c r="C987" s="10"/>
      <c r="D987" s="9"/>
      <c r="E987" s="62"/>
      <c r="F987" s="5"/>
    </row>
    <row r="988" ht="15.75" customHeight="1">
      <c r="B988" s="9"/>
      <c r="C988" s="10"/>
      <c r="D988" s="9"/>
      <c r="E988" s="62"/>
      <c r="F988" s="5"/>
    </row>
    <row r="989" ht="15.75" customHeight="1">
      <c r="B989" s="9"/>
      <c r="C989" s="10"/>
      <c r="D989" s="9"/>
      <c r="E989" s="62"/>
      <c r="F989" s="5"/>
    </row>
    <row r="990" ht="15.75" customHeight="1">
      <c r="B990" s="9"/>
      <c r="C990" s="10"/>
      <c r="D990" s="9"/>
      <c r="E990" s="62"/>
      <c r="F990" s="5"/>
    </row>
    <row r="991" ht="15.75" customHeight="1">
      <c r="B991" s="9"/>
      <c r="C991" s="10"/>
      <c r="D991" s="9"/>
      <c r="E991" s="62"/>
      <c r="F991" s="5"/>
    </row>
    <row r="992" ht="15.75" customHeight="1">
      <c r="B992" s="9"/>
      <c r="C992" s="10"/>
      <c r="D992" s="9"/>
      <c r="E992" s="62"/>
      <c r="F992" s="5"/>
    </row>
    <row r="993" ht="15.75" customHeight="1">
      <c r="B993" s="9"/>
      <c r="C993" s="10"/>
      <c r="D993" s="9"/>
      <c r="E993" s="62"/>
      <c r="F993" s="5"/>
    </row>
    <row r="994" ht="15.75" customHeight="1">
      <c r="B994" s="9"/>
      <c r="C994" s="10"/>
      <c r="D994" s="9"/>
      <c r="E994" s="62"/>
      <c r="F994" s="5"/>
    </row>
    <row r="995" ht="15.75" customHeight="1">
      <c r="B995" s="9"/>
      <c r="C995" s="10"/>
      <c r="D995" s="9"/>
      <c r="E995" s="62"/>
      <c r="F995" s="5"/>
    </row>
    <row r="996" ht="15.75" customHeight="1">
      <c r="B996" s="9"/>
      <c r="C996" s="10"/>
      <c r="D996" s="9"/>
      <c r="E996" s="62"/>
      <c r="F996" s="5"/>
    </row>
    <row r="997" ht="15.75" customHeight="1">
      <c r="B997" s="9"/>
      <c r="C997" s="10"/>
      <c r="D997" s="9"/>
      <c r="E997" s="62"/>
      <c r="F997" s="5"/>
    </row>
    <row r="998" ht="15.75" customHeight="1">
      <c r="B998" s="9"/>
      <c r="C998" s="10"/>
      <c r="D998" s="9"/>
      <c r="E998" s="62"/>
      <c r="F998" s="5"/>
    </row>
    <row r="999" ht="15.75" customHeight="1">
      <c r="B999" s="9"/>
      <c r="C999" s="10"/>
      <c r="D999" s="9"/>
      <c r="E999" s="62"/>
      <c r="F999" s="5"/>
    </row>
    <row r="1000" ht="15.75" customHeight="1">
      <c r="B1000" s="9"/>
      <c r="C1000" s="10"/>
      <c r="D1000" s="9"/>
      <c r="E1000" s="62"/>
      <c r="F1000" s="5"/>
    </row>
    <row r="1001" ht="15.75" customHeight="1">
      <c r="B1001" s="9"/>
      <c r="C1001" s="10"/>
      <c r="D1001" s="9"/>
      <c r="E1001" s="62"/>
      <c r="F1001" s="5"/>
    </row>
    <row r="1002" ht="15.75" customHeight="1">
      <c r="B1002" s="9"/>
      <c r="C1002" s="10"/>
      <c r="D1002" s="9"/>
      <c r="E1002" s="62"/>
      <c r="F1002" s="5"/>
    </row>
    <row r="1003" ht="15.75" customHeight="1">
      <c r="B1003" s="9"/>
      <c r="C1003" s="10"/>
      <c r="D1003" s="9"/>
      <c r="E1003" s="62"/>
      <c r="F1003" s="5"/>
    </row>
    <row r="1004" ht="15.75" customHeight="1">
      <c r="B1004" s="9"/>
      <c r="C1004" s="10"/>
      <c r="D1004" s="9"/>
      <c r="E1004" s="62"/>
      <c r="F1004" s="5"/>
    </row>
    <row r="1005" ht="15.75" customHeight="1">
      <c r="B1005" s="9"/>
      <c r="C1005" s="10"/>
      <c r="D1005" s="9"/>
      <c r="E1005" s="62"/>
      <c r="F1005" s="5"/>
    </row>
    <row r="1006" ht="15.75" customHeight="1">
      <c r="B1006" s="9"/>
      <c r="C1006" s="10"/>
      <c r="D1006" s="9"/>
      <c r="E1006" s="62"/>
      <c r="F1006" s="5"/>
    </row>
    <row r="1007" ht="15.75" customHeight="1">
      <c r="B1007" s="9"/>
      <c r="C1007" s="10"/>
      <c r="D1007" s="9"/>
      <c r="E1007" s="62"/>
      <c r="F1007" s="5"/>
    </row>
    <row r="1008" ht="15.75" customHeight="1">
      <c r="B1008" s="9"/>
      <c r="C1008" s="10"/>
      <c r="D1008" s="9"/>
      <c r="E1008" s="62"/>
      <c r="F1008" s="5"/>
    </row>
    <row r="1009" ht="15.75" customHeight="1">
      <c r="B1009" s="9"/>
      <c r="C1009" s="10"/>
      <c r="D1009" s="9"/>
      <c r="E1009" s="62"/>
      <c r="F1009" s="5"/>
    </row>
  </sheetData>
  <autoFilter ref="$A$1:$Q$1009"/>
  <hyperlinks>
    <hyperlink r:id="rId1" ref="K11"/>
    <hyperlink r:id="rId2" ref="K12"/>
    <hyperlink r:id="rId3" ref="K13"/>
    <hyperlink r:id="rId4" ref="K14"/>
    <hyperlink r:id="rId5" ref="K15"/>
    <hyperlink r:id="rId6" ref="K16"/>
    <hyperlink r:id="rId7" ref="K17"/>
    <hyperlink r:id="rId8" ref="K18"/>
    <hyperlink r:id="rId9" ref="K19"/>
    <hyperlink r:id="rId10" ref="K20"/>
    <hyperlink r:id="rId11" ref="K21"/>
    <hyperlink r:id="rId12" ref="K22"/>
    <hyperlink r:id="rId13" ref="K23"/>
    <hyperlink r:id="rId14" ref="K24"/>
    <hyperlink r:id="rId15" ref="K25"/>
    <hyperlink r:id="rId16" ref="K26"/>
    <hyperlink r:id="rId17" ref="K27"/>
    <hyperlink r:id="rId18" ref="K28"/>
    <hyperlink r:id="rId19" ref="K29"/>
    <hyperlink r:id="rId20" ref="K30"/>
    <hyperlink r:id="rId21" ref="K31"/>
    <hyperlink r:id="rId22" ref="K32"/>
    <hyperlink r:id="rId23" ref="K33"/>
    <hyperlink r:id="rId24" ref="K34"/>
    <hyperlink r:id="rId25" ref="K35"/>
    <hyperlink r:id="rId26" ref="K36"/>
    <hyperlink r:id="rId27" ref="K37"/>
    <hyperlink r:id="rId28" ref="K38"/>
    <hyperlink r:id="rId29" ref="K39"/>
    <hyperlink r:id="rId30" ref="K40"/>
    <hyperlink r:id="rId31" ref="K41"/>
    <hyperlink r:id="rId32" ref="K42"/>
    <hyperlink r:id="rId33" ref="K43"/>
    <hyperlink r:id="rId34" ref="K44"/>
    <hyperlink r:id="rId35" ref="K45"/>
    <hyperlink r:id="rId36" ref="K46"/>
    <hyperlink r:id="rId37" ref="K47"/>
    <hyperlink r:id="rId38" ref="K48"/>
    <hyperlink r:id="rId39" ref="K49"/>
    <hyperlink r:id="rId40" ref="K50"/>
    <hyperlink r:id="rId41" ref="K51"/>
    <hyperlink r:id="rId42" ref="K52"/>
    <hyperlink r:id="rId43" ref="K53"/>
    <hyperlink r:id="rId44" ref="K54"/>
    <hyperlink r:id="rId45" ref="K55"/>
    <hyperlink r:id="rId46" ref="K56"/>
    <hyperlink r:id="rId47" ref="K57"/>
    <hyperlink r:id="rId48" ref="K58"/>
    <hyperlink r:id="rId49" ref="K59"/>
    <hyperlink r:id="rId50" ref="K60"/>
    <hyperlink r:id="rId51" ref="K61"/>
    <hyperlink r:id="rId52" ref="K62"/>
    <hyperlink r:id="rId53" ref="K63"/>
    <hyperlink r:id="rId54" ref="K64"/>
    <hyperlink r:id="rId55" ref="K65"/>
    <hyperlink r:id="rId56" ref="K66"/>
    <hyperlink r:id="rId57" ref="K67"/>
    <hyperlink r:id="rId58" ref="K68"/>
    <hyperlink r:id="rId59" ref="K69"/>
    <hyperlink r:id="rId60" ref="K70"/>
    <hyperlink r:id="rId61" ref="K71"/>
    <hyperlink r:id="rId62" ref="K72"/>
    <hyperlink r:id="rId63" ref="K73"/>
    <hyperlink r:id="rId64" ref="K74"/>
    <hyperlink r:id="rId65" ref="K75"/>
    <hyperlink r:id="rId66" ref="K76"/>
    <hyperlink r:id="rId67" ref="K77"/>
    <hyperlink r:id="rId68" ref="K78"/>
    <hyperlink r:id="rId69" ref="K79"/>
    <hyperlink r:id="rId70" ref="K80"/>
    <hyperlink r:id="rId71" ref="K81"/>
    <hyperlink r:id="rId72" ref="K82"/>
    <hyperlink r:id="rId73" ref="K83"/>
    <hyperlink r:id="rId74" ref="K84"/>
    <hyperlink r:id="rId75" ref="K85"/>
    <hyperlink r:id="rId76" ref="K86"/>
    <hyperlink r:id="rId77" ref="K87"/>
    <hyperlink r:id="rId78" ref="K88"/>
    <hyperlink r:id="rId79" ref="K89"/>
    <hyperlink r:id="rId80" ref="K90"/>
    <hyperlink r:id="rId81" ref="K91"/>
    <hyperlink r:id="rId82" ref="K92"/>
    <hyperlink r:id="rId83" ref="K93"/>
    <hyperlink r:id="rId84" ref="K94"/>
    <hyperlink r:id="rId85" ref="K95"/>
    <hyperlink r:id="rId86" ref="K96"/>
    <hyperlink r:id="rId87" ref="K97"/>
    <hyperlink r:id="rId88" ref="K98"/>
    <hyperlink r:id="rId89" ref="K99"/>
    <hyperlink r:id="rId90" ref="K100"/>
    <hyperlink r:id="rId91" ref="K101"/>
    <hyperlink r:id="rId92" ref="K102"/>
    <hyperlink r:id="rId93" ref="K103"/>
    <hyperlink r:id="rId94" ref="K104"/>
    <hyperlink r:id="rId95" ref="K105"/>
    <hyperlink r:id="rId96" ref="K106"/>
    <hyperlink r:id="rId97" ref="K107"/>
    <hyperlink r:id="rId98" ref="K108"/>
    <hyperlink r:id="rId99" ref="K109"/>
    <hyperlink r:id="rId100" ref="K110"/>
    <hyperlink r:id="rId101" ref="K111"/>
    <hyperlink r:id="rId102" ref="K112"/>
    <hyperlink r:id="rId103" ref="K113"/>
    <hyperlink r:id="rId104" ref="K114"/>
    <hyperlink r:id="rId105" ref="K115"/>
    <hyperlink r:id="rId106" ref="K116"/>
    <hyperlink r:id="rId107" ref="K117"/>
    <hyperlink r:id="rId108" ref="K118"/>
    <hyperlink r:id="rId109" ref="K119"/>
    <hyperlink r:id="rId110" ref="K120"/>
    <hyperlink r:id="rId111" ref="K121"/>
    <hyperlink r:id="rId112" ref="K122"/>
    <hyperlink r:id="rId113" ref="K123"/>
    <hyperlink r:id="rId114" ref="K124"/>
    <hyperlink r:id="rId115" ref="K125"/>
    <hyperlink r:id="rId116" ref="K126"/>
    <hyperlink r:id="rId117" ref="K127"/>
    <hyperlink r:id="rId118" ref="K128"/>
    <hyperlink r:id="rId119" ref="K129"/>
    <hyperlink r:id="rId120" ref="K130"/>
    <hyperlink r:id="rId121" ref="K131"/>
    <hyperlink r:id="rId122" ref="K132"/>
    <hyperlink r:id="rId123" ref="K133"/>
    <hyperlink r:id="rId124" ref="K134"/>
    <hyperlink r:id="rId125" ref="K135"/>
    <hyperlink r:id="rId126" ref="K136"/>
    <hyperlink r:id="rId127" ref="K137"/>
    <hyperlink r:id="rId128" ref="K138"/>
    <hyperlink r:id="rId129" ref="K139"/>
    <hyperlink r:id="rId130" ref="K140"/>
    <hyperlink r:id="rId131" ref="K141"/>
    <hyperlink r:id="rId132" ref="K142"/>
    <hyperlink r:id="rId133" ref="K143"/>
    <hyperlink r:id="rId134" ref="K144"/>
    <hyperlink r:id="rId135" ref="K145"/>
    <hyperlink r:id="rId136" ref="K146"/>
    <hyperlink r:id="rId137" ref="K147"/>
    <hyperlink r:id="rId138" ref="K148"/>
    <hyperlink r:id="rId139" ref="K149"/>
    <hyperlink r:id="rId140" ref="K150"/>
    <hyperlink r:id="rId141" ref="K151"/>
    <hyperlink r:id="rId142" ref="K152"/>
    <hyperlink r:id="rId143" ref="K153"/>
    <hyperlink r:id="rId144" ref="K154"/>
    <hyperlink r:id="rId145" ref="K155"/>
    <hyperlink r:id="rId146" ref="K156"/>
    <hyperlink r:id="rId147" ref="K157"/>
    <hyperlink r:id="rId148" ref="K158"/>
    <hyperlink r:id="rId149" ref="K159"/>
    <hyperlink r:id="rId150" ref="K160"/>
    <hyperlink r:id="rId151" ref="K161"/>
    <hyperlink r:id="rId152" ref="K162"/>
    <hyperlink r:id="rId153" ref="K163"/>
    <hyperlink r:id="rId154" ref="K164"/>
    <hyperlink r:id="rId155" ref="K165"/>
    <hyperlink r:id="rId156" ref="K166"/>
    <hyperlink r:id="rId157" ref="K167"/>
    <hyperlink r:id="rId158" ref="K168"/>
    <hyperlink r:id="rId159" ref="K169"/>
    <hyperlink r:id="rId160" ref="K170"/>
    <hyperlink r:id="rId161" ref="K171"/>
    <hyperlink r:id="rId162" ref="K172"/>
    <hyperlink r:id="rId163" ref="K173"/>
    <hyperlink r:id="rId164" ref="K174"/>
    <hyperlink r:id="rId165" ref="K175"/>
    <hyperlink r:id="rId166" ref="K176"/>
    <hyperlink r:id="rId167" ref="K177"/>
    <hyperlink r:id="rId168" ref="K178"/>
    <hyperlink r:id="rId169" ref="K179"/>
    <hyperlink r:id="rId170" ref="K180"/>
    <hyperlink r:id="rId171" ref="K181"/>
    <hyperlink r:id="rId172" ref="K182"/>
    <hyperlink r:id="rId173" ref="K183"/>
    <hyperlink r:id="rId174" ref="K184"/>
    <hyperlink r:id="rId175" ref="K185"/>
    <hyperlink r:id="rId176" ref="K186"/>
    <hyperlink r:id="rId177" ref="K187"/>
    <hyperlink r:id="rId178" ref="K188"/>
    <hyperlink r:id="rId179" ref="K189"/>
    <hyperlink r:id="rId180" ref="K190"/>
    <hyperlink r:id="rId181" ref="K191"/>
    <hyperlink r:id="rId182" ref="K192"/>
    <hyperlink r:id="rId183" ref="K193"/>
    <hyperlink r:id="rId184" ref="K194"/>
    <hyperlink r:id="rId185" ref="K195"/>
    <hyperlink r:id="rId186" ref="K196"/>
    <hyperlink r:id="rId187" ref="K197"/>
    <hyperlink r:id="rId188" ref="K198"/>
    <hyperlink r:id="rId189" ref="K199"/>
    <hyperlink r:id="rId190" ref="K200"/>
    <hyperlink r:id="rId191" ref="K201"/>
    <hyperlink r:id="rId192" ref="K202"/>
    <hyperlink r:id="rId193" ref="K203"/>
    <hyperlink r:id="rId194" ref="K204"/>
    <hyperlink r:id="rId195" ref="K205"/>
    <hyperlink r:id="rId196" ref="K206"/>
    <hyperlink r:id="rId197" ref="K207"/>
    <hyperlink r:id="rId198" ref="K208"/>
    <hyperlink r:id="rId199" ref="K209"/>
    <hyperlink r:id="rId200" ref="K210"/>
    <hyperlink r:id="rId201" ref="K211"/>
    <hyperlink r:id="rId202" ref="K212"/>
    <hyperlink r:id="rId203" ref="K213"/>
    <hyperlink r:id="rId204" ref="K214"/>
    <hyperlink r:id="rId205" ref="K215"/>
    <hyperlink r:id="rId206" ref="K216"/>
    <hyperlink r:id="rId207" ref="K217"/>
    <hyperlink r:id="rId208" ref="K218"/>
    <hyperlink r:id="rId209" ref="K219"/>
    <hyperlink r:id="rId210" ref="K220"/>
    <hyperlink r:id="rId211" ref="K221"/>
    <hyperlink r:id="rId212" ref="K222"/>
    <hyperlink r:id="rId213" ref="K223"/>
    <hyperlink r:id="rId214" ref="K224"/>
    <hyperlink r:id="rId215" ref="K225"/>
    <hyperlink r:id="rId216" ref="K226"/>
    <hyperlink r:id="rId217" ref="K227"/>
    <hyperlink r:id="rId218" ref="K228"/>
    <hyperlink r:id="rId219" ref="K229"/>
    <hyperlink r:id="rId220" ref="K230"/>
    <hyperlink r:id="rId221" ref="K231"/>
    <hyperlink r:id="rId222" ref="K232"/>
    <hyperlink r:id="rId223" ref="K233"/>
    <hyperlink r:id="rId224" ref="K234"/>
    <hyperlink r:id="rId225" ref="K235"/>
    <hyperlink r:id="rId226" ref="K236"/>
    <hyperlink r:id="rId227" ref="K237"/>
    <hyperlink r:id="rId228" ref="K238"/>
    <hyperlink r:id="rId229" ref="K239"/>
    <hyperlink r:id="rId230" ref="K240"/>
    <hyperlink r:id="rId231" ref="K241"/>
    <hyperlink r:id="rId232" ref="K242"/>
    <hyperlink r:id="rId233" ref="K243"/>
    <hyperlink r:id="rId234" ref="K244"/>
    <hyperlink r:id="rId235" ref="K245"/>
    <hyperlink r:id="rId236" ref="K246"/>
    <hyperlink r:id="rId237" ref="K247"/>
    <hyperlink r:id="rId238" ref="K248"/>
    <hyperlink r:id="rId239" ref="K249"/>
    <hyperlink r:id="rId240" ref="K250"/>
    <hyperlink r:id="rId241" ref="K251"/>
    <hyperlink r:id="rId242" ref="K252"/>
    <hyperlink r:id="rId243" ref="K253"/>
    <hyperlink r:id="rId244" ref="K254"/>
    <hyperlink r:id="rId245" ref="K255"/>
    <hyperlink r:id="rId246" ref="K256"/>
    <hyperlink r:id="rId247" ref="K257"/>
    <hyperlink r:id="rId248" ref="K258"/>
    <hyperlink r:id="rId249" ref="K259"/>
    <hyperlink r:id="rId250" ref="K260"/>
    <hyperlink r:id="rId251" ref="K261"/>
    <hyperlink r:id="rId252" ref="K262"/>
    <hyperlink r:id="rId253" ref="K263"/>
    <hyperlink r:id="rId254" ref="K264"/>
    <hyperlink r:id="rId255" ref="K265"/>
    <hyperlink r:id="rId256" ref="K266"/>
    <hyperlink r:id="rId257" ref="K267"/>
    <hyperlink r:id="rId258" ref="K268"/>
    <hyperlink r:id="rId259" ref="K269"/>
    <hyperlink r:id="rId260" ref="K270"/>
    <hyperlink r:id="rId261" ref="K271"/>
    <hyperlink r:id="rId262" ref="K272"/>
    <hyperlink r:id="rId263" ref="K273"/>
    <hyperlink r:id="rId264" ref="K274"/>
    <hyperlink r:id="rId265" ref="K275"/>
    <hyperlink r:id="rId266" ref="K276"/>
    <hyperlink r:id="rId267" ref="K277"/>
    <hyperlink r:id="rId268" ref="K278"/>
    <hyperlink r:id="rId269" ref="K279"/>
    <hyperlink r:id="rId270" ref="K280"/>
    <hyperlink r:id="rId271" ref="K281"/>
    <hyperlink r:id="rId272" ref="K282"/>
    <hyperlink r:id="rId273" ref="K283"/>
    <hyperlink r:id="rId274" ref="K284"/>
    <hyperlink r:id="rId275" ref="K285"/>
    <hyperlink r:id="rId276" ref="K286"/>
    <hyperlink r:id="rId277" ref="K287"/>
    <hyperlink r:id="rId278" ref="K288"/>
    <hyperlink r:id="rId279" ref="K289"/>
    <hyperlink r:id="rId280" ref="K290"/>
    <hyperlink r:id="rId281" ref="K291"/>
    <hyperlink r:id="rId282" ref="K292"/>
    <hyperlink r:id="rId283" ref="K293"/>
    <hyperlink r:id="rId284" ref="K294"/>
    <hyperlink r:id="rId285" ref="K295"/>
    <hyperlink r:id="rId286" ref="K296"/>
    <hyperlink r:id="rId287" ref="K297"/>
    <hyperlink r:id="rId288" ref="K298"/>
    <hyperlink r:id="rId289" ref="K299"/>
    <hyperlink r:id="rId290" ref="K300"/>
    <hyperlink r:id="rId291" ref="K301"/>
    <hyperlink r:id="rId292" ref="K302"/>
    <hyperlink r:id="rId293" ref="K303"/>
    <hyperlink r:id="rId294" ref="K304"/>
    <hyperlink r:id="rId295" ref="K305"/>
    <hyperlink r:id="rId296" ref="K306"/>
    <hyperlink r:id="rId297" ref="K307"/>
    <hyperlink r:id="rId298" ref="K308"/>
    <hyperlink r:id="rId299" ref="K309"/>
    <hyperlink r:id="rId300" ref="K310"/>
    <hyperlink r:id="rId301" ref="K311"/>
    <hyperlink r:id="rId302" ref="K312"/>
    <hyperlink r:id="rId303" ref="K313"/>
    <hyperlink r:id="rId304" ref="K314"/>
    <hyperlink r:id="rId305" ref="K315"/>
    <hyperlink r:id="rId306" ref="K316"/>
    <hyperlink r:id="rId307" ref="K317"/>
    <hyperlink r:id="rId308" ref="K318"/>
    <hyperlink r:id="rId309" ref="K319"/>
    <hyperlink r:id="rId310" ref="K320"/>
    <hyperlink r:id="rId311" ref="K321"/>
    <hyperlink r:id="rId312" ref="K322"/>
    <hyperlink r:id="rId313" ref="K323"/>
    <hyperlink r:id="rId314" ref="K324"/>
    <hyperlink r:id="rId315" ref="K325"/>
    <hyperlink r:id="rId316" ref="K326"/>
    <hyperlink r:id="rId317" ref="K327"/>
    <hyperlink r:id="rId318" ref="K328"/>
    <hyperlink r:id="rId319" ref="K329"/>
    <hyperlink r:id="rId320" ref="K330"/>
    <hyperlink r:id="rId321" ref="K331"/>
    <hyperlink r:id="rId322" ref="K332"/>
    <hyperlink r:id="rId323" ref="K333"/>
    <hyperlink r:id="rId324" ref="K334"/>
    <hyperlink r:id="rId325" ref="K335"/>
    <hyperlink r:id="rId326" ref="K336"/>
    <hyperlink r:id="rId327" ref="K337"/>
    <hyperlink r:id="rId328" ref="K338"/>
    <hyperlink r:id="rId329" ref="K339"/>
    <hyperlink r:id="rId330" ref="K340"/>
    <hyperlink r:id="rId331" ref="K341"/>
    <hyperlink r:id="rId332" ref="K342"/>
    <hyperlink r:id="rId333" ref="K343"/>
    <hyperlink r:id="rId334" ref="K344"/>
    <hyperlink r:id="rId335" ref="K345"/>
    <hyperlink r:id="rId336" ref="K346"/>
    <hyperlink r:id="rId337" ref="K347"/>
    <hyperlink r:id="rId338" ref="K348"/>
    <hyperlink r:id="rId339" ref="K349"/>
    <hyperlink r:id="rId340" ref="K350"/>
    <hyperlink r:id="rId341" ref="K351"/>
    <hyperlink r:id="rId342" ref="K352"/>
    <hyperlink r:id="rId343" ref="K353"/>
    <hyperlink r:id="rId344" ref="K354"/>
    <hyperlink r:id="rId345" ref="K355"/>
    <hyperlink r:id="rId346" ref="K356"/>
    <hyperlink r:id="rId347" ref="K357"/>
    <hyperlink r:id="rId348" ref="K358"/>
    <hyperlink r:id="rId349" ref="K359"/>
    <hyperlink r:id="rId350" ref="K360"/>
    <hyperlink r:id="rId351" ref="K361"/>
    <hyperlink r:id="rId352" ref="K362"/>
    <hyperlink r:id="rId353" ref="K363"/>
    <hyperlink r:id="rId354" ref="K364"/>
    <hyperlink r:id="rId355" ref="K365"/>
    <hyperlink r:id="rId356" ref="K366"/>
    <hyperlink r:id="rId357" ref="K367"/>
    <hyperlink r:id="rId358" ref="K368"/>
    <hyperlink r:id="rId359" ref="K369"/>
    <hyperlink r:id="rId360" ref="K370"/>
    <hyperlink r:id="rId361" ref="K371"/>
    <hyperlink r:id="rId362" ref="K372"/>
    <hyperlink r:id="rId363" ref="K373"/>
    <hyperlink r:id="rId364" ref="K374"/>
    <hyperlink r:id="rId365" ref="K375"/>
    <hyperlink r:id="rId366" ref="K376"/>
    <hyperlink r:id="rId367" ref="K377"/>
    <hyperlink r:id="rId368" ref="K378"/>
    <hyperlink r:id="rId369" ref="K379"/>
    <hyperlink r:id="rId370" ref="K380"/>
    <hyperlink r:id="rId371" ref="K381"/>
    <hyperlink r:id="rId372" ref="K382"/>
    <hyperlink r:id="rId373" ref="H383"/>
    <hyperlink r:id="rId374" ref="K383"/>
    <hyperlink r:id="rId375" ref="A384"/>
    <hyperlink r:id="rId376" ref="H384"/>
    <hyperlink r:id="rId377" ref="K384"/>
    <hyperlink r:id="rId378" ref="A385"/>
    <hyperlink r:id="rId379" ref="H385"/>
    <hyperlink r:id="rId380" ref="K385"/>
    <hyperlink r:id="rId381" ref="A386"/>
    <hyperlink r:id="rId382" ref="H386"/>
    <hyperlink r:id="rId383" ref="K386"/>
    <hyperlink r:id="rId384" ref="A387"/>
    <hyperlink r:id="rId385" ref="H387"/>
    <hyperlink r:id="rId386" ref="K387"/>
    <hyperlink r:id="rId387" ref="A388"/>
    <hyperlink r:id="rId388" ref="H388"/>
    <hyperlink r:id="rId389" ref="K388"/>
    <hyperlink r:id="rId390" ref="A389"/>
    <hyperlink r:id="rId391" ref="H389"/>
    <hyperlink r:id="rId392" ref="K389"/>
    <hyperlink r:id="rId393" ref="A390"/>
    <hyperlink r:id="rId394" ref="H390"/>
    <hyperlink r:id="rId395" ref="K390"/>
    <hyperlink r:id="rId396" ref="A391"/>
    <hyperlink r:id="rId397" ref="H391"/>
    <hyperlink r:id="rId398" ref="K391"/>
    <hyperlink r:id="rId399" ref="A392"/>
    <hyperlink r:id="rId400" ref="H392"/>
    <hyperlink r:id="rId401" ref="K392"/>
    <hyperlink r:id="rId402" ref="A393"/>
    <hyperlink r:id="rId403" ref="H393"/>
    <hyperlink r:id="rId404" ref="K393"/>
    <hyperlink r:id="rId405" ref="A394"/>
    <hyperlink r:id="rId406" ref="H394"/>
    <hyperlink r:id="rId407" ref="K394"/>
    <hyperlink r:id="rId408" ref="A395"/>
    <hyperlink r:id="rId409" ref="H395"/>
    <hyperlink r:id="rId410" ref="K395"/>
    <hyperlink r:id="rId411" ref="A396"/>
    <hyperlink r:id="rId412" ref="H396"/>
    <hyperlink r:id="rId413" ref="K396"/>
    <hyperlink r:id="rId414" ref="A397"/>
    <hyperlink r:id="rId415" ref="H397"/>
    <hyperlink r:id="rId416" ref="K397"/>
    <hyperlink r:id="rId417" ref="A398"/>
    <hyperlink r:id="rId418" ref="H398"/>
    <hyperlink r:id="rId419" ref="K398"/>
    <hyperlink r:id="rId420" ref="A399"/>
    <hyperlink r:id="rId421" ref="H399"/>
    <hyperlink r:id="rId422" ref="K399"/>
    <hyperlink r:id="rId423" ref="A400"/>
    <hyperlink r:id="rId424" ref="H400"/>
    <hyperlink r:id="rId425" ref="K400"/>
    <hyperlink r:id="rId426" ref="A401"/>
    <hyperlink r:id="rId427" ref="H401"/>
    <hyperlink r:id="rId428" ref="K401"/>
    <hyperlink r:id="rId429" ref="A402"/>
    <hyperlink r:id="rId430" ref="H402"/>
    <hyperlink r:id="rId431" ref="K402"/>
    <hyperlink r:id="rId432" ref="A403"/>
    <hyperlink r:id="rId433" ref="H403"/>
    <hyperlink r:id="rId434" ref="K403"/>
    <hyperlink r:id="rId435" ref="A404"/>
    <hyperlink r:id="rId436" ref="H404"/>
    <hyperlink r:id="rId437" ref="K404"/>
    <hyperlink r:id="rId438" ref="A405"/>
    <hyperlink r:id="rId439" ref="H405"/>
    <hyperlink r:id="rId440" ref="K405"/>
    <hyperlink r:id="rId441" ref="A406"/>
    <hyperlink r:id="rId442" ref="H406"/>
    <hyperlink r:id="rId443" ref="K406"/>
    <hyperlink r:id="rId444" ref="A407"/>
    <hyperlink r:id="rId445" ref="H407"/>
    <hyperlink r:id="rId446" ref="K407"/>
    <hyperlink r:id="rId447" ref="A408"/>
    <hyperlink r:id="rId448" ref="H408"/>
    <hyperlink r:id="rId449" ref="K408"/>
    <hyperlink r:id="rId450" ref="A409"/>
    <hyperlink r:id="rId451" ref="K409"/>
    <hyperlink r:id="rId452" ref="A410"/>
    <hyperlink r:id="rId453" ref="H410"/>
    <hyperlink r:id="rId454" ref="K410"/>
    <hyperlink r:id="rId455" ref="A411"/>
    <hyperlink r:id="rId456" ref="H411"/>
    <hyperlink r:id="rId457" ref="K411"/>
    <hyperlink r:id="rId458" ref="A412"/>
    <hyperlink r:id="rId459" ref="H412"/>
    <hyperlink r:id="rId460" ref="K412"/>
    <hyperlink r:id="rId461" ref="A413"/>
    <hyperlink r:id="rId462" ref="H413"/>
    <hyperlink r:id="rId463" ref="K413"/>
    <hyperlink r:id="rId464" ref="A414"/>
    <hyperlink r:id="rId465" ref="H414"/>
    <hyperlink r:id="rId466" ref="K414"/>
    <hyperlink r:id="rId467" ref="A415"/>
    <hyperlink r:id="rId468" ref="H415"/>
    <hyperlink r:id="rId469" ref="K415"/>
    <hyperlink r:id="rId470" ref="A416"/>
    <hyperlink r:id="rId471" ref="H416"/>
    <hyperlink r:id="rId472" ref="K416"/>
    <hyperlink r:id="rId473" ref="A417"/>
    <hyperlink r:id="rId474" ref="H417"/>
    <hyperlink r:id="rId475" ref="K417"/>
    <hyperlink r:id="rId476" ref="A418"/>
    <hyperlink r:id="rId477" ref="H418"/>
    <hyperlink r:id="rId478" ref="K418"/>
    <hyperlink r:id="rId479" ref="A419"/>
    <hyperlink r:id="rId480" ref="H419"/>
    <hyperlink r:id="rId481" ref="K419"/>
    <hyperlink r:id="rId482" ref="A420"/>
    <hyperlink r:id="rId483" ref="H420"/>
    <hyperlink r:id="rId484" ref="K420"/>
    <hyperlink r:id="rId485" ref="H421"/>
    <hyperlink r:id="rId486" ref="K421"/>
    <hyperlink r:id="rId487" ref="H422"/>
    <hyperlink r:id="rId488" ref="K422"/>
    <hyperlink r:id="rId489" ref="H423"/>
    <hyperlink r:id="rId490" ref="K423"/>
    <hyperlink r:id="rId491" ref="H424"/>
    <hyperlink r:id="rId492" ref="K424"/>
    <hyperlink r:id="rId493" ref="H425"/>
    <hyperlink r:id="rId494" ref="K425"/>
    <hyperlink r:id="rId495" ref="H426"/>
    <hyperlink r:id="rId496" ref="K426"/>
    <hyperlink r:id="rId497" ref="H427"/>
    <hyperlink r:id="rId498" ref="K427"/>
    <hyperlink r:id="rId499" ref="H428"/>
    <hyperlink r:id="rId500" ref="K428"/>
    <hyperlink r:id="rId501" ref="H429"/>
    <hyperlink r:id="rId502" ref="K429"/>
    <hyperlink r:id="rId503" ref="H430"/>
    <hyperlink r:id="rId504" ref="K430"/>
    <hyperlink r:id="rId505" ref="H431"/>
    <hyperlink r:id="rId506" ref="K431"/>
    <hyperlink r:id="rId507" ref="H432"/>
    <hyperlink r:id="rId508" ref="K432"/>
    <hyperlink r:id="rId509" ref="H433"/>
    <hyperlink r:id="rId510" ref="K433"/>
    <hyperlink r:id="rId511" ref="H434"/>
    <hyperlink r:id="rId512" ref="K434"/>
    <hyperlink r:id="rId513" ref="H435"/>
    <hyperlink r:id="rId514" ref="K435"/>
    <hyperlink r:id="rId515" ref="H436"/>
    <hyperlink r:id="rId516" ref="K436"/>
    <hyperlink r:id="rId517" ref="H437"/>
    <hyperlink r:id="rId518" ref="K437"/>
    <hyperlink r:id="rId519" ref="H438"/>
    <hyperlink r:id="rId520" ref="K438"/>
    <hyperlink r:id="rId521" ref="H439"/>
    <hyperlink r:id="rId522" ref="K439"/>
    <hyperlink r:id="rId523" ref="A440"/>
    <hyperlink r:id="rId524" ref="H440"/>
    <hyperlink r:id="rId525" ref="K440"/>
    <hyperlink r:id="rId526" ref="A441"/>
    <hyperlink r:id="rId527" ref="H441"/>
    <hyperlink r:id="rId528" ref="K441"/>
    <hyperlink r:id="rId529" ref="A442"/>
    <hyperlink r:id="rId530" ref="H442"/>
    <hyperlink r:id="rId531" ref="K442"/>
    <hyperlink r:id="rId532" ref="A443"/>
    <hyperlink r:id="rId533" ref="H443"/>
    <hyperlink r:id="rId534" ref="K443"/>
    <hyperlink r:id="rId535" ref="A444"/>
    <hyperlink r:id="rId536" ref="H444"/>
    <hyperlink r:id="rId537" ref="K444"/>
    <hyperlink r:id="rId538" ref="A445"/>
    <hyperlink r:id="rId539" ref="H445"/>
    <hyperlink r:id="rId540" ref="K445"/>
    <hyperlink r:id="rId541" ref="A446"/>
    <hyperlink r:id="rId542" ref="H446"/>
    <hyperlink r:id="rId543" ref="K446"/>
    <hyperlink r:id="rId544" ref="A447"/>
    <hyperlink r:id="rId545" ref="H447"/>
    <hyperlink r:id="rId546" ref="K447"/>
    <hyperlink r:id="rId547" ref="A448"/>
    <hyperlink r:id="rId548" ref="H448"/>
    <hyperlink r:id="rId549" ref="K448"/>
    <hyperlink r:id="rId550" ref="A449"/>
    <hyperlink r:id="rId551" ref="H449"/>
    <hyperlink r:id="rId552" ref="K449"/>
    <hyperlink r:id="rId553" ref="A450"/>
    <hyperlink r:id="rId554" ref="H450"/>
    <hyperlink r:id="rId555" ref="K450"/>
    <hyperlink r:id="rId556" ref="A451"/>
    <hyperlink r:id="rId557" ref="H451"/>
    <hyperlink r:id="rId558" ref="K451"/>
    <hyperlink r:id="rId559" ref="A452"/>
    <hyperlink r:id="rId560" ref="H452"/>
    <hyperlink r:id="rId561" ref="K452"/>
    <hyperlink r:id="rId562" ref="A453"/>
    <hyperlink r:id="rId563" ref="H453"/>
    <hyperlink r:id="rId564" ref="K453"/>
    <hyperlink r:id="rId565" ref="A454"/>
    <hyperlink r:id="rId566" ref="H454"/>
    <hyperlink r:id="rId567" ref="K454"/>
    <hyperlink r:id="rId568" ref="A455"/>
    <hyperlink r:id="rId569" ref="H455"/>
    <hyperlink r:id="rId570" ref="K455"/>
    <hyperlink r:id="rId571" ref="A456"/>
    <hyperlink r:id="rId572" ref="H456"/>
    <hyperlink r:id="rId573" ref="K456"/>
    <hyperlink r:id="rId574" ref="A457"/>
    <hyperlink r:id="rId575" ref="H457"/>
    <hyperlink r:id="rId576" ref="K457"/>
    <hyperlink r:id="rId577" ref="A458"/>
    <hyperlink r:id="rId578" ref="H458"/>
    <hyperlink r:id="rId579" ref="K458"/>
    <hyperlink r:id="rId580" ref="A459"/>
    <hyperlink r:id="rId581" ref="H459"/>
    <hyperlink r:id="rId582" ref="K459"/>
    <hyperlink r:id="rId583" ref="A460"/>
    <hyperlink r:id="rId584" ref="H460"/>
    <hyperlink r:id="rId585" ref="K460"/>
    <hyperlink r:id="rId586" ref="A461"/>
    <hyperlink r:id="rId587" ref="H461"/>
    <hyperlink r:id="rId588" ref="K461"/>
    <hyperlink r:id="rId589" ref="A462"/>
    <hyperlink r:id="rId590" ref="H462"/>
    <hyperlink r:id="rId591" ref="K462"/>
    <hyperlink r:id="rId592" ref="A463"/>
    <hyperlink r:id="rId593" ref="H463"/>
    <hyperlink r:id="rId594" ref="K463"/>
    <hyperlink r:id="rId595" ref="A464"/>
    <hyperlink r:id="rId596" ref="H464"/>
    <hyperlink r:id="rId597" ref="K464"/>
    <hyperlink r:id="rId598" ref="A465"/>
    <hyperlink r:id="rId599" ref="H465"/>
    <hyperlink r:id="rId600" ref="K465"/>
    <hyperlink r:id="rId601" ref="A466"/>
    <hyperlink r:id="rId602" ref="H466"/>
    <hyperlink r:id="rId603" ref="K466"/>
    <hyperlink r:id="rId604" ref="A467"/>
    <hyperlink r:id="rId605" ref="H467"/>
    <hyperlink r:id="rId606" ref="K467"/>
    <hyperlink r:id="rId607" ref="A468"/>
    <hyperlink r:id="rId608" ref="H468"/>
    <hyperlink r:id="rId609" ref="K468"/>
    <hyperlink r:id="rId610" ref="A469"/>
    <hyperlink r:id="rId611" ref="H469"/>
    <hyperlink r:id="rId612" ref="K469"/>
    <hyperlink r:id="rId613" ref="A470"/>
    <hyperlink r:id="rId614" ref="H470"/>
    <hyperlink r:id="rId615" ref="K470"/>
    <hyperlink r:id="rId616" ref="A471"/>
    <hyperlink r:id="rId617" ref="H471"/>
    <hyperlink r:id="rId618" ref="K471"/>
    <hyperlink r:id="rId619" ref="A472"/>
    <hyperlink r:id="rId620" ref="H472"/>
    <hyperlink r:id="rId621" ref="K472"/>
    <hyperlink r:id="rId622" ref="A473"/>
    <hyperlink r:id="rId623" ref="H473"/>
    <hyperlink r:id="rId624" ref="K473"/>
    <hyperlink r:id="rId625" ref="A474"/>
    <hyperlink r:id="rId626" ref="H474"/>
    <hyperlink r:id="rId627" ref="K474"/>
    <hyperlink r:id="rId628" ref="A475"/>
    <hyperlink r:id="rId629" ref="H475"/>
    <hyperlink r:id="rId630" ref="K475"/>
    <hyperlink r:id="rId631" ref="A476"/>
    <hyperlink r:id="rId632" ref="H476"/>
    <hyperlink r:id="rId633" ref="K476"/>
    <hyperlink r:id="rId634" ref="A477"/>
    <hyperlink r:id="rId635" ref="H477"/>
    <hyperlink r:id="rId636" ref="K477"/>
    <hyperlink r:id="rId637" ref="H478"/>
    <hyperlink r:id="rId638" ref="K478"/>
    <hyperlink r:id="rId639" ref="H479"/>
    <hyperlink r:id="rId640" ref="K479"/>
    <hyperlink r:id="rId641" ref="H480"/>
    <hyperlink r:id="rId642" ref="K480"/>
    <hyperlink r:id="rId643" ref="H481"/>
    <hyperlink r:id="rId644" ref="K481"/>
    <hyperlink r:id="rId645" ref="H482"/>
    <hyperlink r:id="rId646" ref="K482"/>
    <hyperlink r:id="rId647" ref="H483"/>
    <hyperlink r:id="rId648" ref="K483"/>
    <hyperlink r:id="rId649" ref="H484"/>
    <hyperlink r:id="rId650" ref="K484"/>
    <hyperlink r:id="rId651" ref="H485"/>
    <hyperlink r:id="rId652" ref="K485"/>
    <hyperlink r:id="rId653" ref="H486"/>
    <hyperlink r:id="rId654" ref="K486"/>
    <hyperlink r:id="rId655" ref="H487"/>
    <hyperlink r:id="rId656" ref="K487"/>
    <hyperlink r:id="rId657" ref="H488"/>
    <hyperlink r:id="rId658" ref="K488"/>
    <hyperlink r:id="rId659" ref="H489"/>
    <hyperlink r:id="rId660" ref="K489"/>
    <hyperlink r:id="rId661" ref="H490"/>
    <hyperlink r:id="rId662" ref="K490"/>
    <hyperlink r:id="rId663" ref="H491"/>
    <hyperlink r:id="rId664" ref="K491"/>
    <hyperlink r:id="rId665" ref="H492"/>
    <hyperlink r:id="rId666" ref="K492"/>
    <hyperlink r:id="rId667" ref="H493"/>
    <hyperlink r:id="rId668" ref="K493"/>
    <hyperlink r:id="rId669" ref="H494"/>
    <hyperlink r:id="rId670" ref="K494"/>
    <hyperlink r:id="rId671" ref="H495"/>
    <hyperlink r:id="rId672" ref="K495"/>
    <hyperlink r:id="rId673" ref="H496"/>
    <hyperlink r:id="rId674" ref="K496"/>
    <hyperlink r:id="rId675" ref="A497"/>
    <hyperlink r:id="rId676" ref="H497"/>
    <hyperlink r:id="rId677" ref="K497"/>
    <hyperlink r:id="rId678" ref="A498"/>
    <hyperlink r:id="rId679" ref="H498"/>
    <hyperlink r:id="rId680" ref="K498"/>
    <hyperlink r:id="rId681" ref="A499"/>
    <hyperlink r:id="rId682" ref="H499"/>
    <hyperlink r:id="rId683" ref="K499"/>
    <hyperlink r:id="rId684" ref="A500"/>
    <hyperlink r:id="rId685" ref="H500"/>
    <hyperlink r:id="rId686" ref="K500"/>
    <hyperlink r:id="rId687" ref="A501"/>
    <hyperlink r:id="rId688" ref="H501"/>
    <hyperlink r:id="rId689" ref="K501"/>
    <hyperlink r:id="rId690" ref="A502"/>
    <hyperlink r:id="rId691" ref="H502"/>
    <hyperlink r:id="rId692" ref="K502"/>
    <hyperlink r:id="rId693" ref="A503"/>
    <hyperlink r:id="rId694" ref="H503"/>
    <hyperlink r:id="rId695" ref="K503"/>
    <hyperlink r:id="rId696" ref="A504"/>
    <hyperlink r:id="rId697" ref="H504"/>
    <hyperlink r:id="rId698" ref="K504"/>
    <hyperlink r:id="rId699" ref="A505"/>
    <hyperlink r:id="rId700" ref="H505"/>
    <hyperlink r:id="rId701" ref="K505"/>
    <hyperlink r:id="rId702" ref="A506"/>
    <hyperlink r:id="rId703" ref="H506"/>
    <hyperlink r:id="rId704" ref="K506"/>
    <hyperlink r:id="rId705" ref="A507"/>
    <hyperlink r:id="rId706" ref="H507"/>
    <hyperlink r:id="rId707" ref="K507"/>
    <hyperlink r:id="rId708" ref="A508"/>
    <hyperlink r:id="rId709" ref="H508"/>
    <hyperlink r:id="rId710" ref="K508"/>
    <hyperlink r:id="rId711" ref="A509"/>
    <hyperlink r:id="rId712" ref="H509"/>
    <hyperlink r:id="rId713" ref="K509"/>
    <hyperlink r:id="rId714" ref="A510"/>
    <hyperlink r:id="rId715" ref="H510"/>
    <hyperlink r:id="rId716" ref="K510"/>
    <hyperlink r:id="rId717" ref="A511"/>
    <hyperlink r:id="rId718" ref="H511"/>
    <hyperlink r:id="rId719" ref="K511"/>
    <hyperlink r:id="rId720" ref="A512"/>
    <hyperlink r:id="rId721" ref="H512"/>
    <hyperlink r:id="rId722" ref="K512"/>
    <hyperlink r:id="rId723" ref="A513"/>
    <hyperlink r:id="rId724" ref="H513"/>
    <hyperlink r:id="rId725" ref="K513"/>
    <hyperlink r:id="rId726" ref="A514"/>
    <hyperlink r:id="rId727" ref="H514"/>
    <hyperlink r:id="rId728" ref="K514"/>
    <hyperlink r:id="rId729" ref="A515"/>
    <hyperlink r:id="rId730" ref="H515"/>
    <hyperlink r:id="rId731" ref="K515"/>
    <hyperlink r:id="rId732" ref="A516"/>
    <hyperlink r:id="rId733" ref="H516"/>
    <hyperlink r:id="rId734" ref="K516"/>
    <hyperlink r:id="rId735" ref="A517"/>
    <hyperlink r:id="rId736" ref="H517"/>
    <hyperlink r:id="rId737" ref="K517"/>
    <hyperlink r:id="rId738" ref="A518"/>
    <hyperlink r:id="rId739" ref="H518"/>
    <hyperlink r:id="rId740" ref="K518"/>
    <hyperlink r:id="rId741" ref="A519"/>
    <hyperlink r:id="rId742" ref="H519"/>
    <hyperlink r:id="rId743" ref="K519"/>
    <hyperlink r:id="rId744" ref="A520"/>
    <hyperlink r:id="rId745" ref="H520"/>
    <hyperlink r:id="rId746" ref="K520"/>
    <hyperlink r:id="rId747" ref="A521"/>
    <hyperlink r:id="rId748" ref="H521"/>
    <hyperlink r:id="rId749" ref="K521"/>
    <hyperlink r:id="rId750" ref="A522"/>
    <hyperlink r:id="rId751" ref="H522"/>
    <hyperlink r:id="rId752" ref="K522"/>
    <hyperlink r:id="rId753" ref="A523"/>
    <hyperlink r:id="rId754" ref="H523"/>
    <hyperlink r:id="rId755" ref="K523"/>
    <hyperlink r:id="rId756" ref="A524"/>
    <hyperlink r:id="rId757" ref="H524"/>
    <hyperlink r:id="rId758" ref="K524"/>
    <hyperlink r:id="rId759" ref="A525"/>
    <hyperlink r:id="rId760" ref="H525"/>
    <hyperlink r:id="rId761" ref="K525"/>
    <hyperlink r:id="rId762" ref="A526"/>
    <hyperlink r:id="rId763" ref="H526"/>
    <hyperlink r:id="rId764" ref="K526"/>
    <hyperlink r:id="rId765" ref="A527"/>
    <hyperlink r:id="rId766" ref="H527"/>
    <hyperlink r:id="rId767" ref="K527"/>
    <hyperlink r:id="rId768" ref="A528"/>
    <hyperlink r:id="rId769" ref="H528"/>
    <hyperlink r:id="rId770" ref="K528"/>
    <hyperlink r:id="rId771" ref="A529"/>
    <hyperlink r:id="rId772" ref="H529"/>
    <hyperlink r:id="rId773" ref="K529"/>
    <hyperlink r:id="rId774" ref="A530"/>
    <hyperlink r:id="rId775" ref="H530"/>
    <hyperlink r:id="rId776" ref="K530"/>
    <hyperlink r:id="rId777" ref="A531"/>
    <hyperlink r:id="rId778" ref="H531"/>
    <hyperlink r:id="rId779" ref="K531"/>
    <hyperlink r:id="rId780" ref="A532"/>
    <hyperlink r:id="rId781" ref="H532"/>
    <hyperlink r:id="rId782" ref="K532"/>
    <hyperlink r:id="rId783" ref="A533"/>
    <hyperlink r:id="rId784" ref="H533"/>
    <hyperlink r:id="rId785" ref="K533"/>
    <hyperlink r:id="rId786" ref="A534"/>
    <hyperlink r:id="rId787" ref="H534"/>
    <hyperlink r:id="rId788" ref="K534"/>
    <hyperlink r:id="rId789" ref="H535"/>
    <hyperlink r:id="rId790" ref="K535"/>
    <hyperlink r:id="rId791" ref="H536"/>
    <hyperlink r:id="rId792" ref="K536"/>
    <hyperlink r:id="rId793" ref="H537"/>
    <hyperlink r:id="rId794" ref="K537"/>
    <hyperlink r:id="rId795" ref="H538"/>
    <hyperlink r:id="rId796" ref="K538"/>
    <hyperlink r:id="rId797" ref="H539"/>
    <hyperlink r:id="rId798" ref="K539"/>
    <hyperlink r:id="rId799" ref="H540"/>
    <hyperlink r:id="rId800" ref="K540"/>
    <hyperlink r:id="rId801" ref="H541"/>
    <hyperlink r:id="rId802" ref="K541"/>
    <hyperlink r:id="rId803" ref="H542"/>
    <hyperlink r:id="rId804" ref="K542"/>
    <hyperlink r:id="rId805" ref="H543"/>
    <hyperlink r:id="rId806" ref="K543"/>
    <hyperlink r:id="rId807" ref="H544"/>
    <hyperlink r:id="rId808" ref="K544"/>
    <hyperlink r:id="rId809" ref="H545"/>
    <hyperlink r:id="rId810" ref="K545"/>
    <hyperlink r:id="rId811" ref="H546"/>
    <hyperlink r:id="rId812" ref="K546"/>
    <hyperlink r:id="rId813" ref="H547"/>
    <hyperlink r:id="rId814" ref="K547"/>
    <hyperlink r:id="rId815" ref="H548"/>
    <hyperlink r:id="rId816" ref="K548"/>
    <hyperlink r:id="rId817" ref="H549"/>
    <hyperlink r:id="rId818" ref="K549"/>
    <hyperlink r:id="rId819" ref="H550"/>
    <hyperlink r:id="rId820" ref="K550"/>
    <hyperlink r:id="rId821" ref="H551"/>
    <hyperlink r:id="rId822" ref="K551"/>
    <hyperlink r:id="rId823" ref="H552"/>
    <hyperlink r:id="rId824" ref="K552"/>
    <hyperlink r:id="rId825" ref="H553"/>
    <hyperlink r:id="rId826" ref="K553"/>
    <hyperlink r:id="rId827" ref="H554"/>
    <hyperlink r:id="rId828" ref="K554"/>
    <hyperlink r:id="rId829" ref="H555"/>
    <hyperlink r:id="rId830" ref="K555"/>
    <hyperlink r:id="rId831" ref="H556"/>
    <hyperlink r:id="rId832" ref="K556"/>
  </hyperlinks>
  <printOptions/>
  <pageMargins bottom="0.75" footer="0.0" header="0.0" left="0.7" right="0.7" top="0.75"/>
  <pageSetup orientation="landscape"/>
  <drawing r:id="rId83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9.11"/>
    <col customWidth="1" min="3" max="3" width="14.44"/>
    <col customWidth="1" min="4" max="5" width="10.56"/>
    <col customWidth="1" min="6" max="6" width="17.44"/>
    <col customWidth="1" min="7" max="15" width="10.56"/>
    <col customWidth="1" min="16" max="16" width="14.22"/>
    <col customWidth="1" min="17" max="25" width="10.56"/>
  </cols>
  <sheetData>
    <row r="1" ht="15.75" customHeight="1">
      <c r="A1" s="1" t="s">
        <v>0</v>
      </c>
      <c r="B1" s="8" t="s">
        <v>3</v>
      </c>
      <c r="C1" s="4" t="s">
        <v>4</v>
      </c>
      <c r="D1" s="1" t="s">
        <v>5</v>
      </c>
      <c r="E1" s="1" t="s">
        <v>1245</v>
      </c>
      <c r="F1" s="7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10</v>
      </c>
      <c r="N1" s="1" t="s">
        <v>14</v>
      </c>
      <c r="O1" s="8" t="s">
        <v>15</v>
      </c>
      <c r="P1" s="6" t="s">
        <v>16</v>
      </c>
    </row>
    <row r="2" ht="15.75" customHeight="1">
      <c r="A2" s="6" t="s">
        <v>17</v>
      </c>
      <c r="B2" s="63">
        <v>45931.0</v>
      </c>
      <c r="C2" s="11">
        <v>0.875</v>
      </c>
      <c r="D2" s="64" t="s">
        <v>24</v>
      </c>
      <c r="E2" s="13"/>
      <c r="F2" s="6" t="s">
        <v>1246</v>
      </c>
      <c r="G2" s="14" t="s">
        <v>21</v>
      </c>
      <c r="H2" s="15">
        <v>50207.0</v>
      </c>
      <c r="I2" s="16">
        <v>0.043055555555555555</v>
      </c>
      <c r="J2" s="17" t="s">
        <v>22</v>
      </c>
      <c r="K2" s="1">
        <f t="shared" ref="K2:K381" si="1">+HOUR(I2)</f>
        <v>1</v>
      </c>
      <c r="L2" s="1">
        <f t="shared" ref="L2:L381" si="2">+MINUTE(I2)</f>
        <v>2</v>
      </c>
      <c r="M2" s="1" t="str">
        <f t="shared" ref="M2:M5" si="3">+CONCAT(K2,L2)</f>
        <v>12</v>
      </c>
      <c r="N2" s="1" t="str">
        <f t="shared" ref="N2:N381" si="4">+IF(OR(AND(L2&gt;K2,D2="A"),AND(K2&gt;L2,D2="H")),"WIN",IF((OR(AND(L2=K2,D2="A"),AND(K2=L2,D2="H"))),"DRAW","LOSS"))</f>
        <v>LOSS</v>
      </c>
      <c r="O2" s="1">
        <f t="shared" ref="O2:O381" si="5">+IF(N2="WIN",1,IF(N2="DRAW",0,-1))</f>
        <v>-1</v>
      </c>
    </row>
    <row r="3" ht="15.75" customHeight="1">
      <c r="A3" s="6" t="s">
        <v>17</v>
      </c>
      <c r="B3" s="65">
        <v>45951.0</v>
      </c>
      <c r="C3" s="11">
        <v>0.78125</v>
      </c>
      <c r="D3" s="66" t="s">
        <v>24</v>
      </c>
      <c r="E3" s="13"/>
      <c r="F3" s="6" t="s">
        <v>1247</v>
      </c>
      <c r="G3" s="14" t="s">
        <v>21</v>
      </c>
      <c r="H3" s="15">
        <v>46264.0</v>
      </c>
      <c r="I3" s="16">
        <v>0.25069444444444444</v>
      </c>
      <c r="J3" s="17" t="s">
        <v>22</v>
      </c>
      <c r="K3" s="1">
        <f t="shared" si="1"/>
        <v>6</v>
      </c>
      <c r="L3" s="1">
        <f t="shared" si="2"/>
        <v>1</v>
      </c>
      <c r="M3" s="1" t="str">
        <f t="shared" si="3"/>
        <v>61</v>
      </c>
      <c r="N3" s="1" t="str">
        <f t="shared" si="4"/>
        <v>WIN</v>
      </c>
      <c r="O3" s="1">
        <f t="shared" si="5"/>
        <v>1</v>
      </c>
    </row>
    <row r="4" ht="15.75" customHeight="1">
      <c r="A4" s="6" t="s">
        <v>17</v>
      </c>
      <c r="B4" s="65">
        <v>45966.0</v>
      </c>
      <c r="C4" s="11">
        <v>0.875</v>
      </c>
      <c r="D4" s="66" t="s">
        <v>19</v>
      </c>
      <c r="E4" s="13"/>
      <c r="F4" s="6" t="s">
        <v>28</v>
      </c>
      <c r="G4" s="14" t="s">
        <v>21</v>
      </c>
      <c r="H4" s="15">
        <v>27037.0</v>
      </c>
      <c r="I4" s="16">
        <v>0.12708333333333333</v>
      </c>
      <c r="J4" s="17" t="s">
        <v>22</v>
      </c>
      <c r="K4" s="1">
        <f t="shared" si="1"/>
        <v>3</v>
      </c>
      <c r="L4" s="1">
        <f t="shared" si="2"/>
        <v>3</v>
      </c>
      <c r="M4" s="1" t="str">
        <f t="shared" si="3"/>
        <v>33</v>
      </c>
      <c r="N4" s="1" t="str">
        <f t="shared" si="4"/>
        <v>DRAW</v>
      </c>
      <c r="O4" s="1">
        <f t="shared" si="5"/>
        <v>0</v>
      </c>
    </row>
    <row r="5" ht="15.75" customHeight="1">
      <c r="A5" s="1">
        <v>28.0</v>
      </c>
      <c r="B5" s="24" t="s">
        <v>1248</v>
      </c>
      <c r="C5" s="22">
        <v>0.875</v>
      </c>
      <c r="D5" s="67" t="s">
        <v>24</v>
      </c>
      <c r="E5" s="13" t="s">
        <v>87</v>
      </c>
      <c r="F5" s="1" t="s">
        <v>225</v>
      </c>
      <c r="G5" s="24" t="s">
        <v>59</v>
      </c>
      <c r="H5" s="25">
        <v>38225.0</v>
      </c>
      <c r="I5" s="26">
        <v>0.041666666666666664</v>
      </c>
      <c r="J5" s="17" t="s">
        <v>175</v>
      </c>
      <c r="K5" s="1">
        <f t="shared" si="1"/>
        <v>1</v>
      </c>
      <c r="L5" s="1">
        <f t="shared" si="2"/>
        <v>0</v>
      </c>
      <c r="M5" s="1" t="str">
        <f t="shared" si="3"/>
        <v>10</v>
      </c>
      <c r="N5" s="1" t="str">
        <f t="shared" si="4"/>
        <v>WIN</v>
      </c>
      <c r="O5" s="1">
        <f t="shared" si="5"/>
        <v>1</v>
      </c>
    </row>
    <row r="6" ht="15.75" customHeight="1">
      <c r="A6" s="1">
        <v>1.0</v>
      </c>
      <c r="B6" s="24" t="s">
        <v>1249</v>
      </c>
      <c r="C6" s="22">
        <v>0.875</v>
      </c>
      <c r="D6" s="67" t="s">
        <v>19</v>
      </c>
      <c r="E6" s="13" t="s">
        <v>33</v>
      </c>
      <c r="F6" s="1" t="s">
        <v>356</v>
      </c>
      <c r="G6" s="24" t="s">
        <v>59</v>
      </c>
      <c r="H6" s="25">
        <v>47693.0</v>
      </c>
      <c r="I6" s="26">
        <v>0.041666666666666664</v>
      </c>
      <c r="J6" s="1" t="s">
        <v>437</v>
      </c>
      <c r="K6" s="1">
        <f t="shared" si="1"/>
        <v>1</v>
      </c>
      <c r="L6" s="1">
        <f t="shared" si="2"/>
        <v>0</v>
      </c>
      <c r="M6" s="1" t="str">
        <f>+CONCAT(K6,"-",L6)</f>
        <v>#N/A</v>
      </c>
      <c r="N6" s="1" t="str">
        <f t="shared" si="4"/>
        <v>LOSS</v>
      </c>
      <c r="O6" s="1">
        <f t="shared" si="5"/>
        <v>-1</v>
      </c>
    </row>
    <row r="7" ht="15.75" customHeight="1">
      <c r="A7" s="1">
        <v>8.0</v>
      </c>
      <c r="B7" s="24" t="s">
        <v>1250</v>
      </c>
      <c r="C7" s="22">
        <v>0.875</v>
      </c>
      <c r="D7" s="67" t="s">
        <v>24</v>
      </c>
      <c r="E7" s="13" t="s">
        <v>87</v>
      </c>
      <c r="F7" s="1" t="s">
        <v>71</v>
      </c>
      <c r="G7" s="24" t="s">
        <v>59</v>
      </c>
      <c r="H7" s="25">
        <v>41116.0</v>
      </c>
      <c r="I7" s="26">
        <v>0.041666666666666664</v>
      </c>
      <c r="J7" s="17" t="s">
        <v>175</v>
      </c>
      <c r="K7" s="1">
        <f t="shared" si="1"/>
        <v>1</v>
      </c>
      <c r="L7" s="1">
        <f t="shared" si="2"/>
        <v>0</v>
      </c>
      <c r="M7" s="1" t="str">
        <f>+CONCAT(K7,L7)</f>
        <v>10</v>
      </c>
      <c r="N7" s="1" t="str">
        <f t="shared" si="4"/>
        <v>WIN</v>
      </c>
      <c r="O7" s="1">
        <f t="shared" si="5"/>
        <v>1</v>
      </c>
    </row>
    <row r="8" ht="15.75" customHeight="1">
      <c r="A8" s="1">
        <v>28.0</v>
      </c>
      <c r="B8" s="24" t="s">
        <v>1251</v>
      </c>
      <c r="C8" s="22">
        <v>0.875</v>
      </c>
      <c r="D8" s="67" t="s">
        <v>24</v>
      </c>
      <c r="E8" s="13" t="s">
        <v>30</v>
      </c>
      <c r="F8" s="1" t="s">
        <v>300</v>
      </c>
      <c r="G8" s="24" t="s">
        <v>59</v>
      </c>
      <c r="H8" s="25">
        <v>78425.0</v>
      </c>
      <c r="I8" s="26">
        <v>0.0</v>
      </c>
      <c r="J8" s="17" t="s">
        <v>268</v>
      </c>
      <c r="K8" s="1">
        <f t="shared" si="1"/>
        <v>0</v>
      </c>
      <c r="L8" s="1">
        <f t="shared" si="2"/>
        <v>0</v>
      </c>
      <c r="M8" s="1" t="str">
        <f>+CONCAT(K8,"-",L8)</f>
        <v>#N/A</v>
      </c>
      <c r="N8" s="1" t="str">
        <f t="shared" si="4"/>
        <v>DRAW</v>
      </c>
      <c r="O8" s="1">
        <f t="shared" si="5"/>
        <v>0</v>
      </c>
    </row>
    <row r="9" ht="15.75" customHeight="1">
      <c r="A9" s="1">
        <v>35.0</v>
      </c>
      <c r="B9" s="24" t="s">
        <v>1252</v>
      </c>
      <c r="C9" s="22">
        <v>0.875</v>
      </c>
      <c r="D9" s="67" t="s">
        <v>24</v>
      </c>
      <c r="E9" s="13" t="s">
        <v>87</v>
      </c>
      <c r="F9" s="1" t="s">
        <v>239</v>
      </c>
      <c r="G9" s="24" t="s">
        <v>59</v>
      </c>
      <c r="H9" s="25">
        <v>35829.0</v>
      </c>
      <c r="I9" s="26">
        <v>0.08333333333333333</v>
      </c>
      <c r="J9" s="17" t="s">
        <v>175</v>
      </c>
      <c r="K9" s="1">
        <f t="shared" si="1"/>
        <v>2</v>
      </c>
      <c r="L9" s="1">
        <f t="shared" si="2"/>
        <v>0</v>
      </c>
      <c r="M9" s="1" t="str">
        <f t="shared" ref="M9:M10" si="6">+CONCAT(K9,L9)</f>
        <v>20</v>
      </c>
      <c r="N9" s="1" t="str">
        <f t="shared" si="4"/>
        <v>WIN</v>
      </c>
      <c r="O9" s="1">
        <f t="shared" si="5"/>
        <v>1</v>
      </c>
    </row>
    <row r="10" ht="15.75" customHeight="1">
      <c r="A10" s="1">
        <v>24.0</v>
      </c>
      <c r="B10" s="24" t="s">
        <v>1253</v>
      </c>
      <c r="C10" s="22">
        <v>0.875</v>
      </c>
      <c r="D10" s="67" t="s">
        <v>24</v>
      </c>
      <c r="E10" s="13" t="s">
        <v>87</v>
      </c>
      <c r="F10" s="1" t="s">
        <v>100</v>
      </c>
      <c r="G10" s="24" t="s">
        <v>59</v>
      </c>
      <c r="H10" s="25">
        <v>45296.0</v>
      </c>
      <c r="I10" s="26">
        <v>0.041666666666666664</v>
      </c>
      <c r="J10" s="17" t="s">
        <v>53</v>
      </c>
      <c r="K10" s="1">
        <f t="shared" si="1"/>
        <v>1</v>
      </c>
      <c r="L10" s="1">
        <f t="shared" si="2"/>
        <v>0</v>
      </c>
      <c r="M10" s="1" t="str">
        <f t="shared" si="6"/>
        <v>10</v>
      </c>
      <c r="N10" s="1" t="str">
        <f t="shared" si="4"/>
        <v>WIN</v>
      </c>
      <c r="O10" s="1">
        <f t="shared" si="5"/>
        <v>1</v>
      </c>
    </row>
    <row r="11" ht="15.75" customHeight="1">
      <c r="A11" s="1">
        <v>32.0</v>
      </c>
      <c r="B11" s="24" t="s">
        <v>1254</v>
      </c>
      <c r="C11" s="22">
        <v>0.875</v>
      </c>
      <c r="D11" s="67" t="s">
        <v>24</v>
      </c>
      <c r="E11" s="13" t="s">
        <v>33</v>
      </c>
      <c r="F11" s="1" t="s">
        <v>231</v>
      </c>
      <c r="G11" s="24" t="s">
        <v>59</v>
      </c>
      <c r="H11" s="25">
        <v>57495.0</v>
      </c>
      <c r="I11" s="26">
        <v>6.944444444444445E-4</v>
      </c>
      <c r="J11" s="17" t="s">
        <v>354</v>
      </c>
      <c r="K11" s="1">
        <f t="shared" si="1"/>
        <v>0</v>
      </c>
      <c r="L11" s="1">
        <f t="shared" si="2"/>
        <v>1</v>
      </c>
      <c r="M11" s="1" t="str">
        <f t="shared" ref="M11:M12" si="7">+CONCAT(K11,"-",L11)</f>
        <v>#N/A</v>
      </c>
      <c r="N11" s="1" t="str">
        <f t="shared" si="4"/>
        <v>LOSS</v>
      </c>
      <c r="O11" s="1">
        <f t="shared" si="5"/>
        <v>-1</v>
      </c>
    </row>
    <row r="12" ht="15.75" customHeight="1">
      <c r="A12" s="1">
        <v>5.0</v>
      </c>
      <c r="B12" s="24" t="s">
        <v>1255</v>
      </c>
      <c r="C12" s="22">
        <v>0.875</v>
      </c>
      <c r="D12" s="67" t="s">
        <v>24</v>
      </c>
      <c r="E12" s="13" t="s">
        <v>272</v>
      </c>
      <c r="F12" s="1" t="s">
        <v>361</v>
      </c>
      <c r="G12" s="24" t="s">
        <v>59</v>
      </c>
      <c r="H12" s="25">
        <v>27097.0</v>
      </c>
      <c r="I12" s="26">
        <v>0.04236111111111111</v>
      </c>
      <c r="J12" s="17" t="s">
        <v>354</v>
      </c>
      <c r="K12" s="1">
        <f t="shared" si="1"/>
        <v>1</v>
      </c>
      <c r="L12" s="1">
        <f t="shared" si="2"/>
        <v>1</v>
      </c>
      <c r="M12" s="1" t="str">
        <f t="shared" si="7"/>
        <v>#N/A</v>
      </c>
      <c r="N12" s="1" t="str">
        <f t="shared" si="4"/>
        <v>DRAW</v>
      </c>
      <c r="O12" s="1">
        <f t="shared" si="5"/>
        <v>0</v>
      </c>
    </row>
    <row r="13" ht="15.75" customHeight="1">
      <c r="A13" s="1">
        <v>33.0</v>
      </c>
      <c r="B13" s="24" t="s">
        <v>1256</v>
      </c>
      <c r="C13" s="22">
        <v>0.875</v>
      </c>
      <c r="D13" s="67" t="s">
        <v>24</v>
      </c>
      <c r="E13" s="13" t="s">
        <v>33</v>
      </c>
      <c r="F13" s="1" t="s">
        <v>235</v>
      </c>
      <c r="G13" s="24" t="s">
        <v>59</v>
      </c>
      <c r="H13" s="25">
        <v>30167.0</v>
      </c>
      <c r="I13" s="26">
        <v>0.16805555555555557</v>
      </c>
      <c r="J13" s="17" t="s">
        <v>175</v>
      </c>
      <c r="K13" s="1">
        <f t="shared" si="1"/>
        <v>4</v>
      </c>
      <c r="L13" s="1">
        <f t="shared" si="2"/>
        <v>2</v>
      </c>
      <c r="M13" s="1" t="str">
        <f>+CONCAT(K13,L13)</f>
        <v>42</v>
      </c>
      <c r="N13" s="1" t="str">
        <f t="shared" si="4"/>
        <v>WIN</v>
      </c>
      <c r="O13" s="1">
        <f t="shared" si="5"/>
        <v>1</v>
      </c>
    </row>
    <row r="14" ht="15.75" customHeight="1">
      <c r="A14" s="1">
        <v>27.0</v>
      </c>
      <c r="B14" s="24" t="s">
        <v>1257</v>
      </c>
      <c r="C14" s="22">
        <v>0.875</v>
      </c>
      <c r="D14" s="67" t="s">
        <v>19</v>
      </c>
      <c r="E14" s="13" t="s">
        <v>30</v>
      </c>
      <c r="F14" s="1" t="s">
        <v>314</v>
      </c>
      <c r="G14" s="24" t="s">
        <v>59</v>
      </c>
      <c r="H14" s="25">
        <v>28142.0</v>
      </c>
      <c r="I14" s="26">
        <v>0.002777777777777778</v>
      </c>
      <c r="J14" s="17" t="s">
        <v>268</v>
      </c>
      <c r="K14" s="1">
        <f t="shared" si="1"/>
        <v>0</v>
      </c>
      <c r="L14" s="1">
        <f t="shared" si="2"/>
        <v>4</v>
      </c>
      <c r="M14" s="1" t="str">
        <f>+CONCAT(K14,"-",L14)</f>
        <v>#N/A</v>
      </c>
      <c r="N14" s="1" t="str">
        <f t="shared" si="4"/>
        <v>WIN</v>
      </c>
      <c r="O14" s="1">
        <f t="shared" si="5"/>
        <v>1</v>
      </c>
    </row>
    <row r="15" ht="15.75" customHeight="1">
      <c r="A15" s="29">
        <v>7.0</v>
      </c>
      <c r="B15" s="33" t="s">
        <v>1258</v>
      </c>
      <c r="C15" s="30">
        <v>0.875</v>
      </c>
      <c r="D15" s="68" t="s">
        <v>19</v>
      </c>
      <c r="E15" s="32" t="s">
        <v>33</v>
      </c>
      <c r="F15" s="29" t="s">
        <v>281</v>
      </c>
      <c r="G15" s="33" t="s">
        <v>59</v>
      </c>
      <c r="H15" s="34">
        <v>18103.0</v>
      </c>
      <c r="I15" s="35">
        <v>6.944444444444445E-4</v>
      </c>
      <c r="J15" s="36" t="s">
        <v>268</v>
      </c>
      <c r="K15" s="29">
        <f t="shared" si="1"/>
        <v>0</v>
      </c>
      <c r="L15" s="29">
        <f t="shared" si="2"/>
        <v>1</v>
      </c>
      <c r="M15" s="29" t="str">
        <f>+CONCAT(K15,L15)</f>
        <v>01</v>
      </c>
      <c r="N15" s="29" t="str">
        <f t="shared" si="4"/>
        <v>WIN</v>
      </c>
      <c r="O15" s="29">
        <f t="shared" si="5"/>
        <v>1</v>
      </c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ht="15.75" customHeight="1">
      <c r="A16" s="1">
        <v>22.0</v>
      </c>
      <c r="B16" s="24" t="s">
        <v>1259</v>
      </c>
      <c r="C16" s="22">
        <v>0.7708333333333334</v>
      </c>
      <c r="D16" s="67" t="s">
        <v>24</v>
      </c>
      <c r="E16" s="13" t="s">
        <v>30</v>
      </c>
      <c r="F16" s="1" t="s">
        <v>472</v>
      </c>
      <c r="G16" s="24" t="s">
        <v>59</v>
      </c>
      <c r="H16" s="25">
        <v>76789.0</v>
      </c>
      <c r="I16" s="26">
        <v>0.08472222222222223</v>
      </c>
      <c r="J16" s="1" t="s">
        <v>500</v>
      </c>
      <c r="K16" s="1">
        <f t="shared" si="1"/>
        <v>2</v>
      </c>
      <c r="L16" s="1">
        <f t="shared" si="2"/>
        <v>2</v>
      </c>
      <c r="M16" s="1" t="str">
        <f t="shared" ref="M16:M20" si="8">+CONCAT(K16,"-",L16)</f>
        <v>#N/A</v>
      </c>
      <c r="N16" s="1" t="str">
        <f t="shared" si="4"/>
        <v>DRAW</v>
      </c>
      <c r="O16" s="1">
        <f t="shared" si="5"/>
        <v>0</v>
      </c>
    </row>
    <row r="17" ht="15.75" customHeight="1">
      <c r="A17" s="1">
        <v>26.0</v>
      </c>
      <c r="B17" s="24" t="s">
        <v>1260</v>
      </c>
      <c r="C17" s="22">
        <v>0.8645833333333334</v>
      </c>
      <c r="D17" s="67" t="s">
        <v>19</v>
      </c>
      <c r="E17" s="13" t="s">
        <v>30</v>
      </c>
      <c r="F17" s="1" t="s">
        <v>543</v>
      </c>
      <c r="G17" s="24" t="s">
        <v>59</v>
      </c>
      <c r="H17" s="25">
        <v>78921.0</v>
      </c>
      <c r="I17" s="26">
        <v>6.944444444444445E-4</v>
      </c>
      <c r="J17" s="1" t="s">
        <v>500</v>
      </c>
      <c r="K17" s="1">
        <f t="shared" si="1"/>
        <v>0</v>
      </c>
      <c r="L17" s="1">
        <f t="shared" si="2"/>
        <v>1</v>
      </c>
      <c r="M17" s="1" t="str">
        <f t="shared" si="8"/>
        <v>#N/A</v>
      </c>
      <c r="N17" s="1" t="str">
        <f t="shared" si="4"/>
        <v>WIN</v>
      </c>
      <c r="O17" s="1">
        <f t="shared" si="5"/>
        <v>1</v>
      </c>
    </row>
    <row r="18" ht="15.75" customHeight="1">
      <c r="A18" s="1">
        <v>8.0</v>
      </c>
      <c r="B18" s="24" t="s">
        <v>1261</v>
      </c>
      <c r="C18" s="22">
        <v>0.875</v>
      </c>
      <c r="D18" s="67" t="s">
        <v>19</v>
      </c>
      <c r="E18" s="13" t="s">
        <v>181</v>
      </c>
      <c r="F18" s="1" t="s">
        <v>227</v>
      </c>
      <c r="G18" s="24" t="s">
        <v>21</v>
      </c>
      <c r="H18" s="25">
        <v>60594.0</v>
      </c>
      <c r="I18" s="26">
        <v>0.08333333333333333</v>
      </c>
      <c r="J18" s="17" t="s">
        <v>354</v>
      </c>
      <c r="K18" s="1">
        <f t="shared" si="1"/>
        <v>2</v>
      </c>
      <c r="L18" s="1">
        <f t="shared" si="2"/>
        <v>0</v>
      </c>
      <c r="M18" s="1" t="str">
        <f t="shared" si="8"/>
        <v>#N/A</v>
      </c>
      <c r="N18" s="1" t="str">
        <f t="shared" si="4"/>
        <v>LOSS</v>
      </c>
      <c r="O18" s="1">
        <f t="shared" si="5"/>
        <v>-1</v>
      </c>
    </row>
    <row r="19" ht="15.75" customHeight="1">
      <c r="A19" s="1">
        <v>12.0</v>
      </c>
      <c r="B19" s="24" t="s">
        <v>1262</v>
      </c>
      <c r="C19" s="22">
        <v>0.6666666666666666</v>
      </c>
      <c r="D19" s="67" t="s">
        <v>19</v>
      </c>
      <c r="E19" s="13" t="s">
        <v>30</v>
      </c>
      <c r="F19" s="1" t="s">
        <v>457</v>
      </c>
      <c r="G19" s="24" t="s">
        <v>59</v>
      </c>
      <c r="H19" s="25">
        <v>23341.0</v>
      </c>
      <c r="I19" s="26">
        <v>0.12569444444444444</v>
      </c>
      <c r="J19" s="1" t="s">
        <v>437</v>
      </c>
      <c r="K19" s="1">
        <f t="shared" si="1"/>
        <v>3</v>
      </c>
      <c r="L19" s="1">
        <f t="shared" si="2"/>
        <v>1</v>
      </c>
      <c r="M19" s="1" t="str">
        <f t="shared" si="8"/>
        <v>#N/A</v>
      </c>
      <c r="N19" s="1" t="str">
        <f t="shared" si="4"/>
        <v>LOSS</v>
      </c>
      <c r="O19" s="1">
        <f t="shared" si="5"/>
        <v>-1</v>
      </c>
    </row>
    <row r="20" ht="15.75" customHeight="1">
      <c r="A20" s="1">
        <v>14.0</v>
      </c>
      <c r="B20" s="24" t="s">
        <v>1263</v>
      </c>
      <c r="C20" s="22">
        <v>0.5416666666666666</v>
      </c>
      <c r="D20" s="67" t="s">
        <v>24</v>
      </c>
      <c r="E20" s="13" t="s">
        <v>30</v>
      </c>
      <c r="F20" s="1" t="s">
        <v>613</v>
      </c>
      <c r="G20" s="24" t="s">
        <v>614</v>
      </c>
      <c r="H20" s="25">
        <v>63208.0</v>
      </c>
      <c r="I20" s="26">
        <v>0.08472222222222223</v>
      </c>
      <c r="J20" s="1" t="s">
        <v>591</v>
      </c>
      <c r="K20" s="1">
        <f t="shared" si="1"/>
        <v>2</v>
      </c>
      <c r="L20" s="1">
        <f t="shared" si="2"/>
        <v>2</v>
      </c>
      <c r="M20" s="1" t="str">
        <f t="shared" si="8"/>
        <v>#N/A</v>
      </c>
      <c r="N20" s="1" t="str">
        <f t="shared" si="4"/>
        <v>DRAW</v>
      </c>
      <c r="O20" s="1">
        <f t="shared" si="5"/>
        <v>0</v>
      </c>
    </row>
    <row r="21" ht="15.75" customHeight="1">
      <c r="A21" s="1">
        <v>23.0</v>
      </c>
      <c r="B21" s="24" t="s">
        <v>1264</v>
      </c>
      <c r="C21" s="22">
        <v>0.7708333333333334</v>
      </c>
      <c r="D21" s="67" t="s">
        <v>19</v>
      </c>
      <c r="E21" s="13" t="s">
        <v>43</v>
      </c>
      <c r="F21" s="1" t="s">
        <v>69</v>
      </c>
      <c r="G21" s="24" t="s">
        <v>59</v>
      </c>
      <c r="H21" s="25">
        <v>19480.0</v>
      </c>
      <c r="I21" s="26">
        <v>0.04375</v>
      </c>
      <c r="J21" s="17" t="s">
        <v>175</v>
      </c>
      <c r="K21" s="1">
        <f t="shared" si="1"/>
        <v>1</v>
      </c>
      <c r="L21" s="1">
        <f t="shared" si="2"/>
        <v>3</v>
      </c>
      <c r="M21" s="1" t="str">
        <f t="shared" ref="M21:M23" si="9">+CONCAT(K21,L21)</f>
        <v>13</v>
      </c>
      <c r="N21" s="1" t="str">
        <f t="shared" si="4"/>
        <v>WIN</v>
      </c>
      <c r="O21" s="1">
        <f t="shared" si="5"/>
        <v>1</v>
      </c>
    </row>
    <row r="22" ht="15.75" customHeight="1">
      <c r="A22" s="1">
        <v>34.0</v>
      </c>
      <c r="B22" s="24" t="s">
        <v>1265</v>
      </c>
      <c r="C22" s="22">
        <v>0.875</v>
      </c>
      <c r="D22" s="67" t="s">
        <v>19</v>
      </c>
      <c r="E22" s="13" t="s">
        <v>30</v>
      </c>
      <c r="F22" s="1" t="s">
        <v>119</v>
      </c>
      <c r="G22" s="24" t="s">
        <v>21</v>
      </c>
      <c r="H22" s="25">
        <v>23967.0</v>
      </c>
      <c r="I22" s="26">
        <v>0.043055555555555555</v>
      </c>
      <c r="J22" s="17" t="s">
        <v>53</v>
      </c>
      <c r="K22" s="1">
        <f t="shared" si="1"/>
        <v>1</v>
      </c>
      <c r="L22" s="1">
        <f t="shared" si="2"/>
        <v>2</v>
      </c>
      <c r="M22" s="1" t="str">
        <f t="shared" si="9"/>
        <v>12</v>
      </c>
      <c r="N22" s="1" t="str">
        <f t="shared" si="4"/>
        <v>WIN</v>
      </c>
      <c r="O22" s="1">
        <f t="shared" si="5"/>
        <v>1</v>
      </c>
    </row>
    <row r="23" ht="15.75" customHeight="1">
      <c r="A23" s="1">
        <v>4.0</v>
      </c>
      <c r="B23" s="24" t="s">
        <v>1266</v>
      </c>
      <c r="C23" s="22">
        <v>0.875</v>
      </c>
      <c r="D23" s="67" t="s">
        <v>19</v>
      </c>
      <c r="E23" s="13" t="s">
        <v>87</v>
      </c>
      <c r="F23" s="1" t="s">
        <v>275</v>
      </c>
      <c r="G23" s="24" t="s">
        <v>59</v>
      </c>
      <c r="H23" s="25">
        <v>40233.0</v>
      </c>
      <c r="I23" s="26">
        <v>0.0020833333333333333</v>
      </c>
      <c r="J23" s="17" t="s">
        <v>268</v>
      </c>
      <c r="K23" s="1">
        <f t="shared" si="1"/>
        <v>0</v>
      </c>
      <c r="L23" s="1">
        <f t="shared" si="2"/>
        <v>3</v>
      </c>
      <c r="M23" s="1" t="str">
        <f t="shared" si="9"/>
        <v>03</v>
      </c>
      <c r="N23" s="1" t="str">
        <f t="shared" si="4"/>
        <v>WIN</v>
      </c>
      <c r="O23" s="1">
        <f t="shared" si="5"/>
        <v>1</v>
      </c>
    </row>
    <row r="24" ht="15.75" customHeight="1">
      <c r="A24" s="1">
        <v>11.0</v>
      </c>
      <c r="B24" s="24" t="s">
        <v>1267</v>
      </c>
      <c r="C24" s="22">
        <v>0.8645833333333334</v>
      </c>
      <c r="D24" s="67" t="s">
        <v>19</v>
      </c>
      <c r="E24" s="13" t="s">
        <v>30</v>
      </c>
      <c r="F24" s="1" t="s">
        <v>518</v>
      </c>
      <c r="G24" s="24" t="s">
        <v>59</v>
      </c>
      <c r="H24" s="25">
        <v>13785.0</v>
      </c>
      <c r="I24" s="26">
        <v>0.08541666666666667</v>
      </c>
      <c r="J24" s="1" t="s">
        <v>500</v>
      </c>
      <c r="K24" s="1">
        <f t="shared" si="1"/>
        <v>2</v>
      </c>
      <c r="L24" s="1">
        <f t="shared" si="2"/>
        <v>3</v>
      </c>
      <c r="M24" s="1" t="str">
        <f t="shared" ref="M24:M25" si="10">+CONCAT(K24,"-",L24)</f>
        <v>#N/A</v>
      </c>
      <c r="N24" s="1" t="str">
        <f t="shared" si="4"/>
        <v>WIN</v>
      </c>
      <c r="O24" s="1">
        <f t="shared" si="5"/>
        <v>1</v>
      </c>
    </row>
    <row r="25" ht="15.75" customHeight="1">
      <c r="A25" s="1">
        <v>19.0</v>
      </c>
      <c r="B25" s="24" t="s">
        <v>1268</v>
      </c>
      <c r="C25" s="22">
        <v>0.875</v>
      </c>
      <c r="D25" s="67" t="s">
        <v>19</v>
      </c>
      <c r="E25" s="13" t="s">
        <v>30</v>
      </c>
      <c r="F25" s="1" t="s">
        <v>468</v>
      </c>
      <c r="G25" s="24" t="s">
        <v>59</v>
      </c>
      <c r="H25" s="25">
        <v>33562.0</v>
      </c>
      <c r="I25" s="26">
        <v>0.08472222222222223</v>
      </c>
      <c r="J25" s="1" t="s">
        <v>437</v>
      </c>
      <c r="K25" s="1">
        <f t="shared" si="1"/>
        <v>2</v>
      </c>
      <c r="L25" s="1">
        <f t="shared" si="2"/>
        <v>2</v>
      </c>
      <c r="M25" s="1" t="str">
        <f t="shared" si="10"/>
        <v>#N/A</v>
      </c>
      <c r="N25" s="1" t="str">
        <f t="shared" si="4"/>
        <v>DRAW</v>
      </c>
      <c r="O25" s="1">
        <f t="shared" si="5"/>
        <v>0</v>
      </c>
    </row>
    <row r="26" ht="15.75" customHeight="1">
      <c r="A26" s="24" t="s">
        <v>157</v>
      </c>
      <c r="B26" s="24" t="s">
        <v>1269</v>
      </c>
      <c r="C26" s="22">
        <v>0.7916666666666666</v>
      </c>
      <c r="D26" s="67" t="s">
        <v>19</v>
      </c>
      <c r="E26" s="13"/>
      <c r="F26" s="1" t="s">
        <v>159</v>
      </c>
      <c r="G26" s="24" t="s">
        <v>59</v>
      </c>
      <c r="H26" s="25">
        <v>5500.0</v>
      </c>
      <c r="I26" s="26">
        <v>0.002777777777777778</v>
      </c>
      <c r="J26" s="17" t="s">
        <v>53</v>
      </c>
      <c r="K26" s="1">
        <f t="shared" si="1"/>
        <v>0</v>
      </c>
      <c r="L26" s="1">
        <f t="shared" si="2"/>
        <v>4</v>
      </c>
      <c r="M26" s="1" t="str">
        <f>+CONCAT(K26,L26)</f>
        <v>04</v>
      </c>
      <c r="N26" s="1" t="str">
        <f t="shared" si="4"/>
        <v>WIN</v>
      </c>
      <c r="O26" s="1">
        <f t="shared" si="5"/>
        <v>1</v>
      </c>
    </row>
    <row r="27" ht="15.75" customHeight="1">
      <c r="A27" s="1">
        <v>36.0</v>
      </c>
      <c r="B27" s="24" t="s">
        <v>1270</v>
      </c>
      <c r="C27" s="22">
        <v>0.8645833333333334</v>
      </c>
      <c r="D27" s="67" t="s">
        <v>19</v>
      </c>
      <c r="E27" s="13" t="s">
        <v>30</v>
      </c>
      <c r="F27" s="1" t="s">
        <v>377</v>
      </c>
      <c r="G27" s="24" t="s">
        <v>59</v>
      </c>
      <c r="H27" s="25">
        <v>22519.0</v>
      </c>
      <c r="I27" s="26">
        <v>0.08333333333333333</v>
      </c>
      <c r="J27" s="1" t="s">
        <v>500</v>
      </c>
      <c r="K27" s="1">
        <f t="shared" si="1"/>
        <v>2</v>
      </c>
      <c r="L27" s="1">
        <f t="shared" si="2"/>
        <v>0</v>
      </c>
      <c r="M27" s="1" t="str">
        <f>+CONCAT(K27,"-",L27)</f>
        <v>#N/A</v>
      </c>
      <c r="N27" s="1" t="str">
        <f t="shared" si="4"/>
        <v>LOSS</v>
      </c>
      <c r="O27" s="1">
        <f t="shared" si="5"/>
        <v>-1</v>
      </c>
    </row>
    <row r="28" ht="15.75" customHeight="1">
      <c r="A28" s="1">
        <v>34.0</v>
      </c>
      <c r="B28" s="24" t="s">
        <v>1271</v>
      </c>
      <c r="C28" s="22">
        <v>0.7708333333333334</v>
      </c>
      <c r="D28" s="67" t="s">
        <v>19</v>
      </c>
      <c r="E28" s="13" t="s">
        <v>33</v>
      </c>
      <c r="F28" s="1" t="s">
        <v>237</v>
      </c>
      <c r="G28" s="24" t="s">
        <v>59</v>
      </c>
      <c r="H28" s="25">
        <v>14090.0</v>
      </c>
      <c r="I28" s="26">
        <v>0.16805555555555557</v>
      </c>
      <c r="J28" s="17" t="s">
        <v>175</v>
      </c>
      <c r="K28" s="1">
        <f t="shared" si="1"/>
        <v>4</v>
      </c>
      <c r="L28" s="1">
        <f t="shared" si="2"/>
        <v>2</v>
      </c>
      <c r="M28" s="1" t="str">
        <f>+CONCAT(K28,L28)</f>
        <v>42</v>
      </c>
      <c r="N28" s="1" t="str">
        <f t="shared" si="4"/>
        <v>LOSS</v>
      </c>
      <c r="O28" s="1">
        <f t="shared" si="5"/>
        <v>-1</v>
      </c>
    </row>
    <row r="29" ht="15.75" customHeight="1">
      <c r="A29" s="1">
        <v>11.0</v>
      </c>
      <c r="B29" s="24" t="s">
        <v>1272</v>
      </c>
      <c r="C29" s="22">
        <v>0.8645833333333334</v>
      </c>
      <c r="D29" s="67" t="s">
        <v>24</v>
      </c>
      <c r="E29" s="13" t="s">
        <v>30</v>
      </c>
      <c r="F29" s="1" t="s">
        <v>607</v>
      </c>
      <c r="G29" s="24" t="s">
        <v>59</v>
      </c>
      <c r="H29" s="25">
        <v>70723.0</v>
      </c>
      <c r="I29" s="26">
        <v>0.08402777777777778</v>
      </c>
      <c r="J29" s="1" t="s">
        <v>591</v>
      </c>
      <c r="K29" s="1">
        <f t="shared" si="1"/>
        <v>2</v>
      </c>
      <c r="L29" s="1">
        <f t="shared" si="2"/>
        <v>1</v>
      </c>
      <c r="M29" s="1" t="str">
        <f>+CONCAT(K29,"-",L29)</f>
        <v>#N/A</v>
      </c>
      <c r="N29" s="1" t="str">
        <f t="shared" si="4"/>
        <v>WIN</v>
      </c>
      <c r="O29" s="1">
        <f t="shared" si="5"/>
        <v>1</v>
      </c>
    </row>
    <row r="30" ht="15.75" customHeight="1">
      <c r="A30" s="1">
        <v>12.0</v>
      </c>
      <c r="B30" s="24" t="s">
        <v>1273</v>
      </c>
      <c r="C30" s="22">
        <v>0.875</v>
      </c>
      <c r="D30" s="67" t="s">
        <v>19</v>
      </c>
      <c r="E30" s="13" t="s">
        <v>43</v>
      </c>
      <c r="F30" s="1" t="s">
        <v>198</v>
      </c>
      <c r="G30" s="24" t="s">
        <v>21</v>
      </c>
      <c r="H30" s="25">
        <v>37555.0</v>
      </c>
      <c r="I30" s="26">
        <v>6.944444444444445E-4</v>
      </c>
      <c r="J30" s="17" t="s">
        <v>175</v>
      </c>
      <c r="K30" s="1">
        <f t="shared" si="1"/>
        <v>0</v>
      </c>
      <c r="L30" s="1">
        <f t="shared" si="2"/>
        <v>1</v>
      </c>
      <c r="M30" s="1" t="str">
        <f>+CONCAT(K30,L30)</f>
        <v>01</v>
      </c>
      <c r="N30" s="1" t="str">
        <f t="shared" si="4"/>
        <v>WIN</v>
      </c>
      <c r="O30" s="1">
        <f t="shared" si="5"/>
        <v>1</v>
      </c>
    </row>
    <row r="31" ht="15.75" customHeight="1">
      <c r="A31" s="1">
        <v>16.0</v>
      </c>
      <c r="B31" s="24" t="s">
        <v>1274</v>
      </c>
      <c r="C31" s="22">
        <v>0.6770833333333334</v>
      </c>
      <c r="D31" s="67" t="s">
        <v>24</v>
      </c>
      <c r="E31" s="13" t="s">
        <v>381</v>
      </c>
      <c r="F31" s="1" t="s">
        <v>384</v>
      </c>
      <c r="G31" s="24" t="s">
        <v>59</v>
      </c>
      <c r="H31" s="25">
        <v>66529.0</v>
      </c>
      <c r="I31" s="26">
        <v>6.944444444444445E-4</v>
      </c>
      <c r="J31" s="17" t="s">
        <v>354</v>
      </c>
      <c r="K31" s="1">
        <f t="shared" si="1"/>
        <v>0</v>
      </c>
      <c r="L31" s="1">
        <f t="shared" si="2"/>
        <v>1</v>
      </c>
      <c r="M31" s="1" t="str">
        <f>+CONCAT(K31,"-",L31)</f>
        <v>#N/A</v>
      </c>
      <c r="N31" s="1" t="str">
        <f t="shared" si="4"/>
        <v>LOSS</v>
      </c>
      <c r="O31" s="1">
        <f t="shared" si="5"/>
        <v>-1</v>
      </c>
    </row>
    <row r="32" ht="15.75" customHeight="1">
      <c r="A32" s="1">
        <v>30.0</v>
      </c>
      <c r="B32" s="24" t="s">
        <v>1275</v>
      </c>
      <c r="C32" s="22">
        <v>0.875</v>
      </c>
      <c r="D32" s="67" t="s">
        <v>24</v>
      </c>
      <c r="E32" s="13" t="s">
        <v>30</v>
      </c>
      <c r="F32" s="1" t="s">
        <v>111</v>
      </c>
      <c r="G32" s="24" t="s">
        <v>21</v>
      </c>
      <c r="H32" s="25">
        <v>47043.0</v>
      </c>
      <c r="I32" s="26">
        <v>0.04236111111111111</v>
      </c>
      <c r="J32" s="17" t="s">
        <v>53</v>
      </c>
      <c r="K32" s="1">
        <f t="shared" si="1"/>
        <v>1</v>
      </c>
      <c r="L32" s="1">
        <f t="shared" si="2"/>
        <v>1</v>
      </c>
      <c r="M32" s="1" t="str">
        <f t="shared" ref="M32:M33" si="11">+CONCAT(K32,L32)</f>
        <v>11</v>
      </c>
      <c r="N32" s="1" t="str">
        <f t="shared" si="4"/>
        <v>DRAW</v>
      </c>
      <c r="O32" s="1">
        <f t="shared" si="5"/>
        <v>0</v>
      </c>
    </row>
    <row r="33" ht="15.75" customHeight="1">
      <c r="A33" s="1">
        <v>13.0</v>
      </c>
      <c r="B33" s="24" t="s">
        <v>1276</v>
      </c>
      <c r="C33" s="22">
        <v>0.875</v>
      </c>
      <c r="D33" s="67" t="s">
        <v>24</v>
      </c>
      <c r="E33" s="13" t="s">
        <v>33</v>
      </c>
      <c r="F33" s="1" t="s">
        <v>291</v>
      </c>
      <c r="G33" s="24" t="s">
        <v>59</v>
      </c>
      <c r="H33" s="25">
        <v>92605.0</v>
      </c>
      <c r="I33" s="26">
        <v>0.08333333333333333</v>
      </c>
      <c r="J33" s="17" t="s">
        <v>268</v>
      </c>
      <c r="K33" s="1">
        <f t="shared" si="1"/>
        <v>2</v>
      </c>
      <c r="L33" s="1">
        <f t="shared" si="2"/>
        <v>0</v>
      </c>
      <c r="M33" s="1" t="str">
        <f t="shared" si="11"/>
        <v>20</v>
      </c>
      <c r="N33" s="1" t="str">
        <f t="shared" si="4"/>
        <v>WIN</v>
      </c>
      <c r="O33" s="1">
        <f t="shared" si="5"/>
        <v>1</v>
      </c>
    </row>
    <row r="34" ht="15.75" customHeight="1">
      <c r="A34" s="1">
        <v>31.0</v>
      </c>
      <c r="B34" s="24" t="s">
        <v>1277</v>
      </c>
      <c r="C34" s="22">
        <v>0.8645833333333334</v>
      </c>
      <c r="D34" s="67" t="s">
        <v>24</v>
      </c>
      <c r="E34" s="13" t="s">
        <v>30</v>
      </c>
      <c r="F34" s="1" t="s">
        <v>88</v>
      </c>
      <c r="G34" s="24" t="s">
        <v>483</v>
      </c>
      <c r="H34" s="25">
        <v>92453.0</v>
      </c>
      <c r="I34" s="26">
        <v>0.08333333333333333</v>
      </c>
      <c r="J34" s="1" t="s">
        <v>500</v>
      </c>
      <c r="K34" s="1">
        <f t="shared" si="1"/>
        <v>2</v>
      </c>
      <c r="L34" s="1">
        <f t="shared" si="2"/>
        <v>0</v>
      </c>
      <c r="M34" s="1" t="str">
        <f t="shared" ref="M34:M39" si="12">+CONCAT(K34,"-",L34)</f>
        <v>#N/A</v>
      </c>
      <c r="N34" s="1" t="str">
        <f t="shared" si="4"/>
        <v>WIN</v>
      </c>
      <c r="O34" s="1">
        <f t="shared" si="5"/>
        <v>1</v>
      </c>
    </row>
    <row r="35" ht="15.75" customHeight="1">
      <c r="A35" s="1">
        <v>13.0</v>
      </c>
      <c r="B35" s="24" t="s">
        <v>1278</v>
      </c>
      <c r="C35" s="22">
        <v>0.6770833333333334</v>
      </c>
      <c r="D35" s="67" t="s">
        <v>19</v>
      </c>
      <c r="E35" s="13" t="s">
        <v>375</v>
      </c>
      <c r="F35" s="1" t="s">
        <v>377</v>
      </c>
      <c r="G35" s="24" t="s">
        <v>59</v>
      </c>
      <c r="H35" s="25">
        <v>13146.0</v>
      </c>
      <c r="I35" s="26">
        <v>0.12708333333333333</v>
      </c>
      <c r="J35" s="17" t="s">
        <v>354</v>
      </c>
      <c r="K35" s="1">
        <f t="shared" si="1"/>
        <v>3</v>
      </c>
      <c r="L35" s="1">
        <f t="shared" si="2"/>
        <v>3</v>
      </c>
      <c r="M35" s="1" t="str">
        <f t="shared" si="12"/>
        <v>#N/A</v>
      </c>
      <c r="N35" s="1" t="str">
        <f t="shared" si="4"/>
        <v>DRAW</v>
      </c>
      <c r="O35" s="1">
        <f t="shared" si="5"/>
        <v>0</v>
      </c>
    </row>
    <row r="36" ht="15.75" customHeight="1">
      <c r="A36" s="1">
        <v>27.0</v>
      </c>
      <c r="B36" s="24" t="s">
        <v>1279</v>
      </c>
      <c r="C36" s="22">
        <v>0.7708333333333334</v>
      </c>
      <c r="D36" s="67" t="s">
        <v>24</v>
      </c>
      <c r="E36" s="13" t="s">
        <v>33</v>
      </c>
      <c r="F36" s="1" t="s">
        <v>326</v>
      </c>
      <c r="G36" s="24" t="s">
        <v>59</v>
      </c>
      <c r="H36" s="25">
        <v>77035.0</v>
      </c>
      <c r="I36" s="26">
        <v>0.041666666666666664</v>
      </c>
      <c r="J36" s="1" t="s">
        <v>437</v>
      </c>
      <c r="K36" s="1">
        <f t="shared" si="1"/>
        <v>1</v>
      </c>
      <c r="L36" s="1">
        <f t="shared" si="2"/>
        <v>0</v>
      </c>
      <c r="M36" s="1" t="str">
        <f t="shared" si="12"/>
        <v>#N/A</v>
      </c>
      <c r="N36" s="1" t="str">
        <f t="shared" si="4"/>
        <v>WIN</v>
      </c>
      <c r="O36" s="1">
        <f t="shared" si="5"/>
        <v>1</v>
      </c>
    </row>
    <row r="37" ht="15.75" customHeight="1">
      <c r="A37" s="1">
        <v>31.0</v>
      </c>
      <c r="B37" s="24" t="s">
        <v>1280</v>
      </c>
      <c r="C37" s="22">
        <v>0.8645833333333334</v>
      </c>
      <c r="D37" s="67" t="s">
        <v>24</v>
      </c>
      <c r="E37" s="13" t="s">
        <v>30</v>
      </c>
      <c r="F37" s="1" t="s">
        <v>640</v>
      </c>
      <c r="G37" s="24" t="s">
        <v>483</v>
      </c>
      <c r="H37" s="25">
        <v>72126.0</v>
      </c>
      <c r="I37" s="26">
        <v>0.12569444444444444</v>
      </c>
      <c r="J37" s="1" t="s">
        <v>591</v>
      </c>
      <c r="K37" s="1">
        <f t="shared" si="1"/>
        <v>3</v>
      </c>
      <c r="L37" s="1">
        <f t="shared" si="2"/>
        <v>1</v>
      </c>
      <c r="M37" s="1" t="str">
        <f t="shared" si="12"/>
        <v>#N/A</v>
      </c>
      <c r="N37" s="1" t="str">
        <f t="shared" si="4"/>
        <v>WIN</v>
      </c>
      <c r="O37" s="1">
        <f t="shared" si="5"/>
        <v>1</v>
      </c>
    </row>
    <row r="38" ht="15.75" customHeight="1">
      <c r="A38" s="1">
        <v>35.0</v>
      </c>
      <c r="B38" s="24" t="s">
        <v>1281</v>
      </c>
      <c r="C38" s="22">
        <v>0.875</v>
      </c>
      <c r="D38" s="67" t="s">
        <v>19</v>
      </c>
      <c r="E38" s="13" t="s">
        <v>33</v>
      </c>
      <c r="F38" s="1" t="s">
        <v>384</v>
      </c>
      <c r="G38" s="24" t="s">
        <v>59</v>
      </c>
      <c r="H38" s="25">
        <v>46132.0</v>
      </c>
      <c r="I38" s="26">
        <v>0.043055555555555555</v>
      </c>
      <c r="J38" s="17" t="s">
        <v>354</v>
      </c>
      <c r="K38" s="1">
        <f t="shared" si="1"/>
        <v>1</v>
      </c>
      <c r="L38" s="1">
        <f t="shared" si="2"/>
        <v>2</v>
      </c>
      <c r="M38" s="1" t="str">
        <f t="shared" si="12"/>
        <v>#N/A</v>
      </c>
      <c r="N38" s="1" t="str">
        <f t="shared" si="4"/>
        <v>WIN</v>
      </c>
      <c r="O38" s="1">
        <f t="shared" si="5"/>
        <v>1</v>
      </c>
    </row>
    <row r="39" ht="15.75" customHeight="1">
      <c r="A39" s="1">
        <v>16.0</v>
      </c>
      <c r="B39" s="24" t="s">
        <v>1282</v>
      </c>
      <c r="C39" s="22">
        <v>0.875</v>
      </c>
      <c r="D39" s="67" t="s">
        <v>24</v>
      </c>
      <c r="E39" s="13" t="s">
        <v>30</v>
      </c>
      <c r="F39" s="1" t="s">
        <v>464</v>
      </c>
      <c r="G39" s="24" t="s">
        <v>59</v>
      </c>
      <c r="H39" s="25">
        <v>71072.0</v>
      </c>
      <c r="I39" s="26">
        <v>0.20972222222222223</v>
      </c>
      <c r="J39" s="1" t="s">
        <v>437</v>
      </c>
      <c r="K39" s="1">
        <f t="shared" si="1"/>
        <v>5</v>
      </c>
      <c r="L39" s="1">
        <f t="shared" si="2"/>
        <v>2</v>
      </c>
      <c r="M39" s="1" t="str">
        <f t="shared" si="12"/>
        <v>#N/A</v>
      </c>
      <c r="N39" s="1" t="str">
        <f t="shared" si="4"/>
        <v>WIN</v>
      </c>
      <c r="O39" s="1">
        <f t="shared" si="5"/>
        <v>1</v>
      </c>
    </row>
    <row r="40" ht="15.75" customHeight="1">
      <c r="A40" s="1">
        <v>16.0</v>
      </c>
      <c r="B40" s="24" t="s">
        <v>1283</v>
      </c>
      <c r="C40" s="22">
        <v>0.6770833333333334</v>
      </c>
      <c r="D40" s="67" t="s">
        <v>19</v>
      </c>
      <c r="E40" s="13" t="s">
        <v>33</v>
      </c>
      <c r="F40" s="1" t="s">
        <v>83</v>
      </c>
      <c r="G40" s="24" t="s">
        <v>59</v>
      </c>
      <c r="H40" s="25">
        <v>51749.0</v>
      </c>
      <c r="I40" s="26">
        <v>0.08472222222222223</v>
      </c>
      <c r="J40" s="17" t="s">
        <v>53</v>
      </c>
      <c r="K40" s="1">
        <f t="shared" si="1"/>
        <v>2</v>
      </c>
      <c r="L40" s="1">
        <f t="shared" si="2"/>
        <v>2</v>
      </c>
      <c r="M40" s="1" t="str">
        <f>+CONCAT(K40,L40)</f>
        <v>22</v>
      </c>
      <c r="N40" s="1" t="str">
        <f t="shared" si="4"/>
        <v>DRAW</v>
      </c>
      <c r="O40" s="1">
        <f t="shared" si="5"/>
        <v>0</v>
      </c>
    </row>
    <row r="41" ht="15.75" customHeight="1">
      <c r="A41" s="1">
        <v>20.0</v>
      </c>
      <c r="B41" s="24" t="s">
        <v>1284</v>
      </c>
      <c r="C41" s="22">
        <v>0.7708333333333334</v>
      </c>
      <c r="D41" s="67" t="s">
        <v>19</v>
      </c>
      <c r="E41" s="13" t="s">
        <v>272</v>
      </c>
      <c r="F41" s="1" t="s">
        <v>391</v>
      </c>
      <c r="G41" s="24" t="s">
        <v>59</v>
      </c>
      <c r="H41" s="25">
        <v>14442.0</v>
      </c>
      <c r="I41" s="26">
        <v>0.04236111111111111</v>
      </c>
      <c r="J41" s="17" t="s">
        <v>354</v>
      </c>
      <c r="K41" s="1">
        <f t="shared" si="1"/>
        <v>1</v>
      </c>
      <c r="L41" s="1">
        <f t="shared" si="2"/>
        <v>1</v>
      </c>
      <c r="M41" s="1" t="str">
        <f t="shared" ref="M41:M46" si="13">+CONCAT(K41,"-",L41)</f>
        <v>#N/A</v>
      </c>
      <c r="N41" s="1" t="str">
        <f t="shared" si="4"/>
        <v>DRAW</v>
      </c>
      <c r="O41" s="1">
        <f t="shared" si="5"/>
        <v>0</v>
      </c>
    </row>
    <row r="42" ht="15.75" customHeight="1">
      <c r="A42" s="1">
        <v>15.0</v>
      </c>
      <c r="B42" s="24" t="s">
        <v>1285</v>
      </c>
      <c r="C42" s="22">
        <v>0.8645833333333334</v>
      </c>
      <c r="D42" s="67" t="s">
        <v>19</v>
      </c>
      <c r="E42" s="13" t="s">
        <v>30</v>
      </c>
      <c r="F42" s="1" t="s">
        <v>524</v>
      </c>
      <c r="G42" s="24" t="s">
        <v>59</v>
      </c>
      <c r="H42" s="25">
        <v>24037.0</v>
      </c>
      <c r="I42" s="26">
        <v>0.002777777777777778</v>
      </c>
      <c r="J42" s="1" t="s">
        <v>500</v>
      </c>
      <c r="K42" s="1">
        <f t="shared" si="1"/>
        <v>0</v>
      </c>
      <c r="L42" s="1">
        <f t="shared" si="2"/>
        <v>4</v>
      </c>
      <c r="M42" s="1" t="str">
        <f t="shared" si="13"/>
        <v>#N/A</v>
      </c>
      <c r="N42" s="1" t="str">
        <f t="shared" si="4"/>
        <v>WIN</v>
      </c>
      <c r="O42" s="1">
        <f t="shared" si="5"/>
        <v>1</v>
      </c>
    </row>
    <row r="43" ht="15.75" customHeight="1">
      <c r="A43" s="1">
        <v>27.0</v>
      </c>
      <c r="B43" s="24" t="s">
        <v>1286</v>
      </c>
      <c r="C43" s="22">
        <v>0.7708333333333334</v>
      </c>
      <c r="D43" s="67" t="s">
        <v>24</v>
      </c>
      <c r="E43" s="13" t="s">
        <v>30</v>
      </c>
      <c r="F43" s="1" t="s">
        <v>518</v>
      </c>
      <c r="G43" s="24" t="s">
        <v>59</v>
      </c>
      <c r="H43" s="25">
        <v>74158.0</v>
      </c>
      <c r="I43" s="26">
        <v>0.12569444444444444</v>
      </c>
      <c r="J43" s="1" t="s">
        <v>500</v>
      </c>
      <c r="K43" s="1">
        <f t="shared" si="1"/>
        <v>3</v>
      </c>
      <c r="L43" s="1">
        <f t="shared" si="2"/>
        <v>1</v>
      </c>
      <c r="M43" s="1" t="str">
        <f t="shared" si="13"/>
        <v>#N/A</v>
      </c>
      <c r="N43" s="1" t="str">
        <f t="shared" si="4"/>
        <v>WIN</v>
      </c>
      <c r="O43" s="1">
        <f t="shared" si="5"/>
        <v>1</v>
      </c>
    </row>
    <row r="44" ht="15.75" customHeight="1">
      <c r="A44" s="1">
        <v>3.0</v>
      </c>
      <c r="B44" s="24" t="s">
        <v>1287</v>
      </c>
      <c r="C44" s="22">
        <v>0.8645833333333334</v>
      </c>
      <c r="D44" s="67" t="s">
        <v>24</v>
      </c>
      <c r="E44" s="13" t="s">
        <v>33</v>
      </c>
      <c r="F44" s="1" t="s">
        <v>398</v>
      </c>
      <c r="G44" s="24" t="s">
        <v>483</v>
      </c>
      <c r="H44" s="25">
        <v>72857.0</v>
      </c>
      <c r="I44" s="26">
        <v>0.20833333333333334</v>
      </c>
      <c r="J44" s="1" t="s">
        <v>591</v>
      </c>
      <c r="K44" s="1">
        <f t="shared" si="1"/>
        <v>5</v>
      </c>
      <c r="L44" s="1">
        <f t="shared" si="2"/>
        <v>0</v>
      </c>
      <c r="M44" s="1" t="str">
        <f t="shared" si="13"/>
        <v>#N/A</v>
      </c>
      <c r="N44" s="1" t="str">
        <f t="shared" si="4"/>
        <v>WIN</v>
      </c>
      <c r="O44" s="1">
        <f t="shared" si="5"/>
        <v>1</v>
      </c>
    </row>
    <row r="45" ht="15.75" customHeight="1">
      <c r="A45" s="1">
        <v>13.0</v>
      </c>
      <c r="B45" s="24" t="s">
        <v>1288</v>
      </c>
      <c r="C45" s="22">
        <v>0.875</v>
      </c>
      <c r="D45" s="67" t="s">
        <v>24</v>
      </c>
      <c r="E45" s="13" t="s">
        <v>30</v>
      </c>
      <c r="F45" s="1" t="s">
        <v>459</v>
      </c>
      <c r="G45" s="24" t="s">
        <v>59</v>
      </c>
      <c r="H45" s="25">
        <v>71209.0</v>
      </c>
      <c r="I45" s="26">
        <v>0.1673611111111111</v>
      </c>
      <c r="J45" s="1" t="s">
        <v>437</v>
      </c>
      <c r="K45" s="1">
        <f t="shared" si="1"/>
        <v>4</v>
      </c>
      <c r="L45" s="1">
        <f t="shared" si="2"/>
        <v>1</v>
      </c>
      <c r="M45" s="1" t="str">
        <f t="shared" si="13"/>
        <v>#N/A</v>
      </c>
      <c r="N45" s="1" t="str">
        <f t="shared" si="4"/>
        <v>WIN</v>
      </c>
      <c r="O45" s="1">
        <f t="shared" si="5"/>
        <v>1</v>
      </c>
    </row>
    <row r="46" ht="15.75" customHeight="1">
      <c r="A46" s="1">
        <v>28.0</v>
      </c>
      <c r="B46" s="24" t="s">
        <v>1289</v>
      </c>
      <c r="C46" s="22">
        <v>0.8645833333333334</v>
      </c>
      <c r="D46" s="67" t="s">
        <v>19</v>
      </c>
      <c r="E46" s="13" t="s">
        <v>30</v>
      </c>
      <c r="F46" s="1" t="s">
        <v>604</v>
      </c>
      <c r="G46" s="24" t="s">
        <v>59</v>
      </c>
      <c r="H46" s="25">
        <v>26667.0</v>
      </c>
      <c r="I46" s="26">
        <v>0.001388888888888889</v>
      </c>
      <c r="J46" s="1" t="s">
        <v>591</v>
      </c>
      <c r="K46" s="1">
        <f t="shared" si="1"/>
        <v>0</v>
      </c>
      <c r="L46" s="1">
        <f t="shared" si="2"/>
        <v>2</v>
      </c>
      <c r="M46" s="1" t="str">
        <f t="shared" si="13"/>
        <v>#N/A</v>
      </c>
      <c r="N46" s="1" t="str">
        <f t="shared" si="4"/>
        <v>WIN</v>
      </c>
      <c r="O46" s="1">
        <f t="shared" si="5"/>
        <v>1</v>
      </c>
    </row>
    <row r="47" ht="15.75" customHeight="1">
      <c r="A47" s="1">
        <v>5.0</v>
      </c>
      <c r="B47" s="24" t="s">
        <v>1290</v>
      </c>
      <c r="C47" s="22">
        <v>0.7708333333333334</v>
      </c>
      <c r="D47" s="67" t="s">
        <v>19</v>
      </c>
      <c r="E47" s="13" t="s">
        <v>33</v>
      </c>
      <c r="F47" s="1" t="s">
        <v>277</v>
      </c>
      <c r="G47" s="24" t="s">
        <v>59</v>
      </c>
      <c r="H47" s="25">
        <v>19530.0</v>
      </c>
      <c r="I47" s="26">
        <v>0.002777777777777778</v>
      </c>
      <c r="J47" s="17" t="s">
        <v>268</v>
      </c>
      <c r="K47" s="1">
        <f t="shared" si="1"/>
        <v>0</v>
      </c>
      <c r="L47" s="1">
        <f t="shared" si="2"/>
        <v>4</v>
      </c>
      <c r="M47" s="1" t="str">
        <f t="shared" ref="M47:M48" si="14">+CONCAT(K47,L47)</f>
        <v>04</v>
      </c>
      <c r="N47" s="1" t="str">
        <f t="shared" si="4"/>
        <v>WIN</v>
      </c>
      <c r="O47" s="1">
        <f t="shared" si="5"/>
        <v>1</v>
      </c>
    </row>
    <row r="48" ht="15.75" customHeight="1">
      <c r="A48" s="1">
        <v>31.0</v>
      </c>
      <c r="B48" s="24" t="s">
        <v>1291</v>
      </c>
      <c r="C48" s="22">
        <v>0.875</v>
      </c>
      <c r="D48" s="67" t="s">
        <v>19</v>
      </c>
      <c r="E48" s="13" t="s">
        <v>30</v>
      </c>
      <c r="F48" s="1" t="s">
        <v>113</v>
      </c>
      <c r="G48" s="24" t="s">
        <v>21</v>
      </c>
      <c r="H48" s="25">
        <v>12530.0</v>
      </c>
      <c r="I48" s="26">
        <v>6.944444444444445E-4</v>
      </c>
      <c r="J48" s="17" t="s">
        <v>53</v>
      </c>
      <c r="K48" s="1">
        <f t="shared" si="1"/>
        <v>0</v>
      </c>
      <c r="L48" s="1">
        <f t="shared" si="2"/>
        <v>1</v>
      </c>
      <c r="M48" s="1" t="str">
        <f t="shared" si="14"/>
        <v>01</v>
      </c>
      <c r="N48" s="1" t="str">
        <f t="shared" si="4"/>
        <v>WIN</v>
      </c>
      <c r="O48" s="1">
        <f t="shared" si="5"/>
        <v>1</v>
      </c>
    </row>
    <row r="49" ht="15.75" customHeight="1">
      <c r="A49" s="1">
        <v>32.0</v>
      </c>
      <c r="B49" s="24" t="s">
        <v>1292</v>
      </c>
      <c r="C49" s="22">
        <v>0.6770833333333334</v>
      </c>
      <c r="D49" s="67" t="s">
        <v>19</v>
      </c>
      <c r="E49" s="13" t="s">
        <v>30</v>
      </c>
      <c r="F49" s="1" t="s">
        <v>552</v>
      </c>
      <c r="G49" s="24" t="s">
        <v>418</v>
      </c>
      <c r="H49" s="25">
        <v>7332.0</v>
      </c>
      <c r="I49" s="26">
        <v>0.0</v>
      </c>
      <c r="J49" s="1" t="s">
        <v>500</v>
      </c>
      <c r="K49" s="1">
        <f t="shared" si="1"/>
        <v>0</v>
      </c>
      <c r="L49" s="1">
        <f t="shared" si="2"/>
        <v>0</v>
      </c>
      <c r="M49" s="1" t="str">
        <f>+CONCAT(K49,"-",L49)</f>
        <v>#N/A</v>
      </c>
      <c r="N49" s="1" t="str">
        <f t="shared" si="4"/>
        <v>DRAW</v>
      </c>
      <c r="O49" s="1">
        <f t="shared" si="5"/>
        <v>0</v>
      </c>
    </row>
    <row r="50" ht="15.75" customHeight="1">
      <c r="A50" s="1">
        <v>31.0</v>
      </c>
      <c r="B50" s="24" t="s">
        <v>1293</v>
      </c>
      <c r="C50" s="22">
        <v>0.875</v>
      </c>
      <c r="D50" s="67" t="s">
        <v>19</v>
      </c>
      <c r="E50" s="13" t="s">
        <v>33</v>
      </c>
      <c r="F50" s="1" t="s">
        <v>231</v>
      </c>
      <c r="G50" s="24" t="s">
        <v>59</v>
      </c>
      <c r="H50" s="25">
        <v>19607.0</v>
      </c>
      <c r="I50" s="26">
        <v>6.944444444444445E-4</v>
      </c>
      <c r="J50" s="17" t="s">
        <v>175</v>
      </c>
      <c r="K50" s="1">
        <f t="shared" si="1"/>
        <v>0</v>
      </c>
      <c r="L50" s="1">
        <f t="shared" si="2"/>
        <v>1</v>
      </c>
      <c r="M50" s="1" t="str">
        <f t="shared" ref="M50:M51" si="15">+CONCAT(K50,L50)</f>
        <v>01</v>
      </c>
      <c r="N50" s="1" t="str">
        <f t="shared" si="4"/>
        <v>WIN</v>
      </c>
      <c r="O50" s="1">
        <f t="shared" si="5"/>
        <v>1</v>
      </c>
    </row>
    <row r="51" ht="15.75" customHeight="1">
      <c r="A51" s="1">
        <v>1.0</v>
      </c>
      <c r="B51" s="24" t="s">
        <v>1294</v>
      </c>
      <c r="C51" s="22">
        <v>0.875</v>
      </c>
      <c r="D51" s="67" t="s">
        <v>24</v>
      </c>
      <c r="E51" s="13" t="s">
        <v>30</v>
      </c>
      <c r="F51" s="1" t="s">
        <v>267</v>
      </c>
      <c r="G51" s="24" t="s">
        <v>59</v>
      </c>
      <c r="H51" s="25">
        <v>81104.0</v>
      </c>
      <c r="I51" s="26">
        <v>0.0</v>
      </c>
      <c r="J51" s="17" t="s">
        <v>268</v>
      </c>
      <c r="K51" s="1">
        <f t="shared" si="1"/>
        <v>0</v>
      </c>
      <c r="L51" s="1">
        <f t="shared" si="2"/>
        <v>0</v>
      </c>
      <c r="M51" s="1" t="str">
        <f t="shared" si="15"/>
        <v>00</v>
      </c>
      <c r="N51" s="1" t="str">
        <f t="shared" si="4"/>
        <v>DRAW</v>
      </c>
      <c r="O51" s="1">
        <f t="shared" si="5"/>
        <v>0</v>
      </c>
    </row>
    <row r="52" ht="15.75" customHeight="1">
      <c r="A52" s="1">
        <v>32.0</v>
      </c>
      <c r="B52" s="24" t="s">
        <v>1295</v>
      </c>
      <c r="C52" s="22">
        <v>0.6770833333333334</v>
      </c>
      <c r="D52" s="67" t="s">
        <v>24</v>
      </c>
      <c r="E52" s="13" t="s">
        <v>30</v>
      </c>
      <c r="F52" s="1" t="s">
        <v>642</v>
      </c>
      <c r="G52" s="24" t="s">
        <v>483</v>
      </c>
      <c r="H52" s="25">
        <v>69544.0</v>
      </c>
      <c r="I52" s="26">
        <v>0.08402777777777778</v>
      </c>
      <c r="J52" s="1" t="s">
        <v>591</v>
      </c>
      <c r="K52" s="1">
        <f t="shared" si="1"/>
        <v>2</v>
      </c>
      <c r="L52" s="1">
        <f t="shared" si="2"/>
        <v>1</v>
      </c>
      <c r="M52" s="1" t="str">
        <f t="shared" ref="M52:M58" si="16">+CONCAT(K52,"-",L52)</f>
        <v>#N/A</v>
      </c>
      <c r="N52" s="1" t="str">
        <f t="shared" si="4"/>
        <v>WIN</v>
      </c>
      <c r="O52" s="1">
        <f t="shared" si="5"/>
        <v>1</v>
      </c>
    </row>
    <row r="53" ht="15.75" customHeight="1">
      <c r="A53" s="1">
        <v>4.0</v>
      </c>
      <c r="B53" s="24" t="s">
        <v>1296</v>
      </c>
      <c r="C53" s="22">
        <v>0.875</v>
      </c>
      <c r="D53" s="67" t="s">
        <v>24</v>
      </c>
      <c r="E53" s="13" t="s">
        <v>444</v>
      </c>
      <c r="F53" s="1" t="s">
        <v>44</v>
      </c>
      <c r="G53" s="24" t="s">
        <v>59</v>
      </c>
      <c r="H53" s="25">
        <v>81617.0</v>
      </c>
      <c r="I53" s="26">
        <v>0.20972222222222223</v>
      </c>
      <c r="J53" s="1" t="s">
        <v>437</v>
      </c>
      <c r="K53" s="1">
        <f t="shared" si="1"/>
        <v>5</v>
      </c>
      <c r="L53" s="1">
        <f t="shared" si="2"/>
        <v>2</v>
      </c>
      <c r="M53" s="1" t="str">
        <f t="shared" si="16"/>
        <v>#N/A</v>
      </c>
      <c r="N53" s="1" t="str">
        <f t="shared" si="4"/>
        <v>WIN</v>
      </c>
      <c r="O53" s="1">
        <f t="shared" si="5"/>
        <v>1</v>
      </c>
    </row>
    <row r="54" ht="15.75" customHeight="1">
      <c r="A54" s="1">
        <v>8.0</v>
      </c>
      <c r="B54" s="24" t="s">
        <v>1297</v>
      </c>
      <c r="C54" s="22">
        <v>0.8645833333333334</v>
      </c>
      <c r="D54" s="67" t="s">
        <v>19</v>
      </c>
      <c r="E54" s="13" t="s">
        <v>30</v>
      </c>
      <c r="F54" s="1" t="s">
        <v>227</v>
      </c>
      <c r="G54" s="24" t="s">
        <v>483</v>
      </c>
      <c r="H54" s="25">
        <v>64393.0</v>
      </c>
      <c r="I54" s="26">
        <v>0.04236111111111111</v>
      </c>
      <c r="J54" s="1" t="s">
        <v>591</v>
      </c>
      <c r="K54" s="1">
        <f t="shared" si="1"/>
        <v>1</v>
      </c>
      <c r="L54" s="1">
        <f t="shared" si="2"/>
        <v>1</v>
      </c>
      <c r="M54" s="1" t="str">
        <f t="shared" si="16"/>
        <v>#N/A</v>
      </c>
      <c r="N54" s="1" t="str">
        <f t="shared" si="4"/>
        <v>DRAW</v>
      </c>
      <c r="O54" s="1">
        <f t="shared" si="5"/>
        <v>0</v>
      </c>
    </row>
    <row r="55" ht="15.75" customHeight="1">
      <c r="A55" s="1">
        <v>17.0</v>
      </c>
      <c r="B55" s="24" t="s">
        <v>1298</v>
      </c>
      <c r="C55" s="22">
        <v>0.6666666666666666</v>
      </c>
      <c r="D55" s="67" t="s">
        <v>19</v>
      </c>
      <c r="E55" s="13" t="s">
        <v>30</v>
      </c>
      <c r="F55" s="1" t="s">
        <v>198</v>
      </c>
      <c r="G55" s="24" t="s">
        <v>59</v>
      </c>
      <c r="H55" s="25">
        <v>36639.0</v>
      </c>
      <c r="I55" s="26">
        <v>0.08472222222222223</v>
      </c>
      <c r="J55" s="1" t="s">
        <v>437</v>
      </c>
      <c r="K55" s="1">
        <f t="shared" si="1"/>
        <v>2</v>
      </c>
      <c r="L55" s="1">
        <f t="shared" si="2"/>
        <v>2</v>
      </c>
      <c r="M55" s="1" t="str">
        <f t="shared" si="16"/>
        <v>#N/A</v>
      </c>
      <c r="N55" s="1" t="str">
        <f t="shared" si="4"/>
        <v>DRAW</v>
      </c>
      <c r="O55" s="1">
        <f t="shared" si="5"/>
        <v>0</v>
      </c>
    </row>
    <row r="56" ht="15.75" customHeight="1">
      <c r="A56" s="1">
        <v>24.0</v>
      </c>
      <c r="B56" s="24" t="s">
        <v>1299</v>
      </c>
      <c r="C56" s="22">
        <v>0.6666666666666666</v>
      </c>
      <c r="D56" s="67" t="s">
        <v>24</v>
      </c>
      <c r="E56" s="13" t="s">
        <v>33</v>
      </c>
      <c r="F56" s="1" t="s">
        <v>479</v>
      </c>
      <c r="G56" s="24" t="s">
        <v>59</v>
      </c>
      <c r="H56" s="25">
        <v>89409.0</v>
      </c>
      <c r="I56" s="26">
        <v>0.08402777777777778</v>
      </c>
      <c r="J56" s="1" t="s">
        <v>437</v>
      </c>
      <c r="K56" s="1">
        <f t="shared" si="1"/>
        <v>2</v>
      </c>
      <c r="L56" s="1">
        <f t="shared" si="2"/>
        <v>1</v>
      </c>
      <c r="M56" s="1" t="str">
        <f t="shared" si="16"/>
        <v>#N/A</v>
      </c>
      <c r="N56" s="1" t="str">
        <f t="shared" si="4"/>
        <v>WIN</v>
      </c>
      <c r="O56" s="1">
        <f t="shared" si="5"/>
        <v>1</v>
      </c>
    </row>
    <row r="57" ht="15.75" customHeight="1">
      <c r="A57" s="1">
        <v>4.0</v>
      </c>
      <c r="B57" s="24" t="s">
        <v>1300</v>
      </c>
      <c r="C57" s="22">
        <v>0.6770833333333334</v>
      </c>
      <c r="D57" s="67" t="s">
        <v>19</v>
      </c>
      <c r="E57" s="13" t="s">
        <v>30</v>
      </c>
      <c r="F57" s="1" t="s">
        <v>506</v>
      </c>
      <c r="G57" s="24" t="s">
        <v>59</v>
      </c>
      <c r="H57" s="25">
        <v>26756.0</v>
      </c>
      <c r="I57" s="26">
        <v>0.043055555555555555</v>
      </c>
      <c r="J57" s="1" t="s">
        <v>500</v>
      </c>
      <c r="K57" s="1">
        <f t="shared" si="1"/>
        <v>1</v>
      </c>
      <c r="L57" s="1">
        <f t="shared" si="2"/>
        <v>2</v>
      </c>
      <c r="M57" s="1" t="str">
        <f t="shared" si="16"/>
        <v>#N/A</v>
      </c>
      <c r="N57" s="1" t="str">
        <f t="shared" si="4"/>
        <v>WIN</v>
      </c>
      <c r="O57" s="1">
        <f t="shared" si="5"/>
        <v>1</v>
      </c>
    </row>
    <row r="58" ht="15.75" customHeight="1">
      <c r="A58" s="1">
        <v>24.0</v>
      </c>
      <c r="B58" s="24" t="s">
        <v>1301</v>
      </c>
      <c r="C58" s="22">
        <v>0.8645833333333334</v>
      </c>
      <c r="D58" s="67" t="s">
        <v>24</v>
      </c>
      <c r="E58" s="13" t="s">
        <v>30</v>
      </c>
      <c r="F58" s="1" t="s">
        <v>540</v>
      </c>
      <c r="G58" s="24" t="s">
        <v>59</v>
      </c>
      <c r="H58" s="25">
        <v>67435.0</v>
      </c>
      <c r="I58" s="26">
        <v>0.041666666666666664</v>
      </c>
      <c r="J58" s="1" t="s">
        <v>500</v>
      </c>
      <c r="K58" s="1">
        <f t="shared" si="1"/>
        <v>1</v>
      </c>
      <c r="L58" s="1">
        <f t="shared" si="2"/>
        <v>0</v>
      </c>
      <c r="M58" s="1" t="str">
        <f t="shared" si="16"/>
        <v>#N/A</v>
      </c>
      <c r="N58" s="1" t="str">
        <f t="shared" si="4"/>
        <v>WIN</v>
      </c>
      <c r="O58" s="1">
        <f t="shared" si="5"/>
        <v>1</v>
      </c>
    </row>
    <row r="59" ht="15.75" customHeight="1">
      <c r="A59" s="1">
        <v>1.0</v>
      </c>
      <c r="B59" s="24" t="s">
        <v>1302</v>
      </c>
      <c r="C59" s="22">
        <v>0.8125</v>
      </c>
      <c r="D59" s="67" t="s">
        <v>19</v>
      </c>
      <c r="E59" s="13" t="s">
        <v>30</v>
      </c>
      <c r="F59" s="1" t="s">
        <v>39</v>
      </c>
      <c r="G59" s="24" t="s">
        <v>21</v>
      </c>
      <c r="H59" s="25">
        <v>23318.0</v>
      </c>
      <c r="I59" s="26">
        <v>0.0020833333333333333</v>
      </c>
      <c r="J59" s="17" t="s">
        <v>22</v>
      </c>
      <c r="K59" s="1">
        <f t="shared" si="1"/>
        <v>0</v>
      </c>
      <c r="L59" s="1">
        <f t="shared" si="2"/>
        <v>3</v>
      </c>
      <c r="M59" s="1" t="str">
        <f>+CONCAT(K59,L59)</f>
        <v>03</v>
      </c>
      <c r="N59" s="1" t="str">
        <f t="shared" si="4"/>
        <v>WIN</v>
      </c>
      <c r="O59" s="1">
        <f t="shared" si="5"/>
        <v>1</v>
      </c>
    </row>
    <row r="60" ht="15.75" customHeight="1">
      <c r="A60" s="1">
        <v>4.0</v>
      </c>
      <c r="B60" s="24" t="s">
        <v>1303</v>
      </c>
      <c r="C60" s="22">
        <v>0.6770833333333334</v>
      </c>
      <c r="D60" s="67" t="s">
        <v>19</v>
      </c>
      <c r="E60" s="13" t="s">
        <v>30</v>
      </c>
      <c r="F60" s="1" t="s">
        <v>222</v>
      </c>
      <c r="G60" s="24" t="s">
        <v>59</v>
      </c>
      <c r="H60" s="25">
        <v>14922.0</v>
      </c>
      <c r="I60" s="26">
        <v>0.043055555555555555</v>
      </c>
      <c r="J60" s="1" t="s">
        <v>591</v>
      </c>
      <c r="K60" s="1">
        <f t="shared" si="1"/>
        <v>1</v>
      </c>
      <c r="L60" s="1">
        <f t="shared" si="2"/>
        <v>2</v>
      </c>
      <c r="M60" s="1" t="str">
        <f>+CONCAT(K60,"-",L60)</f>
        <v>#N/A</v>
      </c>
      <c r="N60" s="1" t="str">
        <f t="shared" si="4"/>
        <v>WIN</v>
      </c>
      <c r="O60" s="1">
        <f t="shared" si="5"/>
        <v>1</v>
      </c>
    </row>
    <row r="61" ht="15.75" customHeight="1">
      <c r="A61" s="1">
        <v>5.0</v>
      </c>
      <c r="B61" s="24" t="s">
        <v>1304</v>
      </c>
      <c r="C61" s="22">
        <v>0.875</v>
      </c>
      <c r="D61" s="67" t="s">
        <v>24</v>
      </c>
      <c r="E61" s="13" t="s">
        <v>43</v>
      </c>
      <c r="F61" s="1" t="s">
        <v>185</v>
      </c>
      <c r="G61" s="24" t="s">
        <v>59</v>
      </c>
      <c r="H61" s="25">
        <v>45055.0</v>
      </c>
      <c r="I61" s="26">
        <v>0.20833333333333334</v>
      </c>
      <c r="J61" s="17" t="s">
        <v>175</v>
      </c>
      <c r="K61" s="1">
        <f t="shared" si="1"/>
        <v>5</v>
      </c>
      <c r="L61" s="1">
        <f t="shared" si="2"/>
        <v>0</v>
      </c>
      <c r="M61" s="1" t="str">
        <f t="shared" ref="M61:M62" si="17">+CONCAT(K61,L61)</f>
        <v>50</v>
      </c>
      <c r="N61" s="1" t="str">
        <f t="shared" si="4"/>
        <v>WIN</v>
      </c>
      <c r="O61" s="1">
        <f t="shared" si="5"/>
        <v>1</v>
      </c>
    </row>
    <row r="62" ht="15.75" customHeight="1">
      <c r="A62" s="1">
        <v>17.0</v>
      </c>
      <c r="B62" s="24" t="s">
        <v>1305</v>
      </c>
      <c r="C62" s="22">
        <v>0.875</v>
      </c>
      <c r="D62" s="67" t="s">
        <v>19</v>
      </c>
      <c r="E62" s="13" t="s">
        <v>43</v>
      </c>
      <c r="F62" s="1" t="s">
        <v>207</v>
      </c>
      <c r="G62" s="24" t="s">
        <v>59</v>
      </c>
      <c r="H62" s="25">
        <v>46492.0</v>
      </c>
      <c r="I62" s="26">
        <v>0.04236111111111111</v>
      </c>
      <c r="J62" s="17" t="s">
        <v>175</v>
      </c>
      <c r="K62" s="1">
        <f t="shared" si="1"/>
        <v>1</v>
      </c>
      <c r="L62" s="1">
        <f t="shared" si="2"/>
        <v>1</v>
      </c>
      <c r="M62" s="1" t="str">
        <f t="shared" si="17"/>
        <v>11</v>
      </c>
      <c r="N62" s="1" t="str">
        <f t="shared" si="4"/>
        <v>DRAW</v>
      </c>
      <c r="O62" s="1">
        <f t="shared" si="5"/>
        <v>0</v>
      </c>
    </row>
    <row r="63" ht="15.75" customHeight="1">
      <c r="A63" s="1">
        <v>24.0</v>
      </c>
      <c r="B63" s="24" t="s">
        <v>1306</v>
      </c>
      <c r="C63" s="22">
        <v>0.6770833333333334</v>
      </c>
      <c r="D63" s="67" t="s">
        <v>19</v>
      </c>
      <c r="E63" s="13" t="s">
        <v>30</v>
      </c>
      <c r="F63" s="1" t="s">
        <v>629</v>
      </c>
      <c r="G63" s="45">
        <v>37350.0</v>
      </c>
      <c r="H63" s="25">
        <v>6760.0</v>
      </c>
      <c r="I63" s="26">
        <v>0.001388888888888889</v>
      </c>
      <c r="J63" s="1" t="s">
        <v>591</v>
      </c>
      <c r="K63" s="1">
        <f t="shared" si="1"/>
        <v>0</v>
      </c>
      <c r="L63" s="1">
        <f t="shared" si="2"/>
        <v>2</v>
      </c>
      <c r="M63" s="1" t="str">
        <f>+CONCAT(K63,"-",L63)</f>
        <v>#N/A</v>
      </c>
      <c r="N63" s="1" t="str">
        <f t="shared" si="4"/>
        <v>WIN</v>
      </c>
      <c r="O63" s="1">
        <f t="shared" si="5"/>
        <v>1</v>
      </c>
    </row>
    <row r="64" ht="15.75" customHeight="1">
      <c r="A64" s="1">
        <v>25.0</v>
      </c>
      <c r="B64" s="24" t="s">
        <v>1307</v>
      </c>
      <c r="C64" s="22">
        <v>0.7708333333333334</v>
      </c>
      <c r="D64" s="67" t="s">
        <v>19</v>
      </c>
      <c r="E64" s="13" t="s">
        <v>87</v>
      </c>
      <c r="F64" s="1" t="s">
        <v>220</v>
      </c>
      <c r="G64" s="24" t="s">
        <v>59</v>
      </c>
      <c r="H64" s="25">
        <v>23096.0</v>
      </c>
      <c r="I64" s="26">
        <v>0.043055555555555555</v>
      </c>
      <c r="J64" s="17" t="s">
        <v>175</v>
      </c>
      <c r="K64" s="1">
        <f t="shared" si="1"/>
        <v>1</v>
      </c>
      <c r="L64" s="1">
        <f t="shared" si="2"/>
        <v>2</v>
      </c>
      <c r="M64" s="1" t="str">
        <f t="shared" ref="M64:M67" si="18">+CONCAT(K64,L64)</f>
        <v>12</v>
      </c>
      <c r="N64" s="1" t="str">
        <f t="shared" si="4"/>
        <v>WIN</v>
      </c>
      <c r="O64" s="1">
        <f t="shared" si="5"/>
        <v>1</v>
      </c>
    </row>
    <row r="65" ht="15.75" customHeight="1">
      <c r="A65" s="1">
        <v>1.0</v>
      </c>
      <c r="B65" s="24" t="s">
        <v>1308</v>
      </c>
      <c r="C65" s="22">
        <v>0.8958333333333334</v>
      </c>
      <c r="D65" s="67" t="s">
        <v>19</v>
      </c>
      <c r="E65" s="13" t="s">
        <v>30</v>
      </c>
      <c r="F65" s="1" t="s">
        <v>52</v>
      </c>
      <c r="G65" s="24" t="s">
        <v>21</v>
      </c>
      <c r="H65" s="25">
        <v>46673.0</v>
      </c>
      <c r="I65" s="26">
        <v>0.043055555555555555</v>
      </c>
      <c r="J65" s="17" t="s">
        <v>53</v>
      </c>
      <c r="K65" s="1">
        <f t="shared" si="1"/>
        <v>1</v>
      </c>
      <c r="L65" s="1">
        <f t="shared" si="2"/>
        <v>2</v>
      </c>
      <c r="M65" s="1" t="str">
        <f t="shared" si="18"/>
        <v>12</v>
      </c>
      <c r="N65" s="1" t="str">
        <f t="shared" si="4"/>
        <v>WIN</v>
      </c>
      <c r="O65" s="1">
        <f t="shared" si="5"/>
        <v>1</v>
      </c>
    </row>
    <row r="66" ht="15.75" customHeight="1">
      <c r="A66" s="1">
        <v>6.0</v>
      </c>
      <c r="B66" s="24" t="s">
        <v>1309</v>
      </c>
      <c r="C66" s="22">
        <v>0.6770833333333334</v>
      </c>
      <c r="D66" s="67" t="s">
        <v>24</v>
      </c>
      <c r="E66" s="13" t="s">
        <v>33</v>
      </c>
      <c r="F66" s="1" t="s">
        <v>279</v>
      </c>
      <c r="G66" s="24" t="s">
        <v>59</v>
      </c>
      <c r="H66" s="25">
        <v>85073.0</v>
      </c>
      <c r="I66" s="26">
        <v>0.125</v>
      </c>
      <c r="J66" s="17" t="s">
        <v>268</v>
      </c>
      <c r="K66" s="1">
        <f t="shared" si="1"/>
        <v>3</v>
      </c>
      <c r="L66" s="1">
        <f t="shared" si="2"/>
        <v>0</v>
      </c>
      <c r="M66" s="1" t="str">
        <f t="shared" si="18"/>
        <v>30</v>
      </c>
      <c r="N66" s="1" t="str">
        <f t="shared" si="4"/>
        <v>WIN</v>
      </c>
      <c r="O66" s="1">
        <f t="shared" si="5"/>
        <v>1</v>
      </c>
    </row>
    <row r="67" ht="15.75" customHeight="1">
      <c r="A67" s="1">
        <v>20.0</v>
      </c>
      <c r="B67" s="24" t="s">
        <v>1310</v>
      </c>
      <c r="C67" s="22">
        <v>0.875</v>
      </c>
      <c r="D67" s="67" t="s">
        <v>19</v>
      </c>
      <c r="E67" s="13" t="s">
        <v>87</v>
      </c>
      <c r="F67" s="1" t="s">
        <v>92</v>
      </c>
      <c r="G67" s="24" t="s">
        <v>59</v>
      </c>
      <c r="H67" s="25">
        <v>15134.0</v>
      </c>
      <c r="I67" s="26">
        <v>0.04236111111111111</v>
      </c>
      <c r="J67" s="17" t="s">
        <v>53</v>
      </c>
      <c r="K67" s="1">
        <f t="shared" si="1"/>
        <v>1</v>
      </c>
      <c r="L67" s="1">
        <f t="shared" si="2"/>
        <v>1</v>
      </c>
      <c r="M67" s="1" t="str">
        <f t="shared" si="18"/>
        <v>11</v>
      </c>
      <c r="N67" s="1" t="str">
        <f t="shared" si="4"/>
        <v>DRAW</v>
      </c>
      <c r="O67" s="1">
        <f t="shared" si="5"/>
        <v>0</v>
      </c>
    </row>
    <row r="68" ht="15.75" customHeight="1">
      <c r="A68" s="1">
        <v>1.0</v>
      </c>
      <c r="B68" s="24" t="s">
        <v>1311</v>
      </c>
      <c r="C68" s="22">
        <v>0.9270833333333334</v>
      </c>
      <c r="D68" s="67" t="s">
        <v>24</v>
      </c>
      <c r="E68" s="13" t="s">
        <v>30</v>
      </c>
      <c r="F68" s="1" t="s">
        <v>69</v>
      </c>
      <c r="G68" s="24" t="s">
        <v>59</v>
      </c>
      <c r="H68" s="25">
        <v>52356.0</v>
      </c>
      <c r="I68" s="26">
        <v>0.125</v>
      </c>
      <c r="J68" s="1" t="s">
        <v>500</v>
      </c>
      <c r="K68" s="1">
        <f t="shared" si="1"/>
        <v>3</v>
      </c>
      <c r="L68" s="1">
        <f t="shared" si="2"/>
        <v>0</v>
      </c>
      <c r="M68" s="1" t="str">
        <f>+CONCAT(K68,"-",L68)</f>
        <v>#N/A</v>
      </c>
      <c r="N68" s="1" t="str">
        <f t="shared" si="4"/>
        <v>WIN</v>
      </c>
      <c r="O68" s="1">
        <f t="shared" si="5"/>
        <v>1</v>
      </c>
    </row>
    <row r="69" ht="15.75" customHeight="1">
      <c r="A69" s="6">
        <v>9.0</v>
      </c>
      <c r="B69" s="14" t="s">
        <v>1312</v>
      </c>
      <c r="C69" s="11">
        <v>0.6770833333333334</v>
      </c>
      <c r="D69" s="66" t="s">
        <v>24</v>
      </c>
      <c r="E69" s="20" t="s">
        <v>33</v>
      </c>
      <c r="F69" s="6" t="s">
        <v>1313</v>
      </c>
      <c r="G69" s="14" t="s">
        <v>35</v>
      </c>
      <c r="H69" s="15">
        <v>43172.0</v>
      </c>
      <c r="I69" s="16">
        <v>0.08402777777777778</v>
      </c>
      <c r="J69" s="17" t="s">
        <v>22</v>
      </c>
      <c r="K69" s="1">
        <f t="shared" si="1"/>
        <v>2</v>
      </c>
      <c r="L69" s="1">
        <f t="shared" si="2"/>
        <v>1</v>
      </c>
      <c r="M69" s="1" t="str">
        <f>+CONCAT(K69,L69)</f>
        <v>21</v>
      </c>
      <c r="N69" s="1" t="str">
        <f t="shared" si="4"/>
        <v>WIN</v>
      </c>
      <c r="O69" s="1">
        <f t="shared" si="5"/>
        <v>1</v>
      </c>
    </row>
    <row r="70" ht="15.75" customHeight="1">
      <c r="A70" s="1">
        <v>12.0</v>
      </c>
      <c r="B70" s="24" t="s">
        <v>1314</v>
      </c>
      <c r="C70" s="22">
        <v>0.6770833333333334</v>
      </c>
      <c r="D70" s="67" t="s">
        <v>19</v>
      </c>
      <c r="E70" s="13" t="s">
        <v>30</v>
      </c>
      <c r="F70" s="1" t="s">
        <v>609</v>
      </c>
      <c r="G70" s="24" t="s">
        <v>59</v>
      </c>
      <c r="H70" s="27">
        <v>11454.0</v>
      </c>
      <c r="I70" s="26">
        <v>0.0020833333333333333</v>
      </c>
      <c r="J70" s="1" t="s">
        <v>591</v>
      </c>
      <c r="K70" s="1">
        <f t="shared" si="1"/>
        <v>0</v>
      </c>
      <c r="L70" s="1">
        <f t="shared" si="2"/>
        <v>3</v>
      </c>
      <c r="M70" s="1" t="str">
        <f t="shared" ref="M70:M71" si="19">+CONCAT(K70,"-",L70)</f>
        <v>#N/A</v>
      </c>
      <c r="N70" s="1" t="str">
        <f t="shared" si="4"/>
        <v>WIN</v>
      </c>
      <c r="O70" s="1">
        <f t="shared" si="5"/>
        <v>1</v>
      </c>
    </row>
    <row r="71" ht="15.75" customHeight="1">
      <c r="A71" s="1">
        <v>18.0</v>
      </c>
      <c r="B71" s="24" t="s">
        <v>1315</v>
      </c>
      <c r="C71" s="22">
        <v>0.7708333333333334</v>
      </c>
      <c r="D71" s="67" t="s">
        <v>24</v>
      </c>
      <c r="E71" s="13" t="s">
        <v>381</v>
      </c>
      <c r="F71" s="1" t="s">
        <v>388</v>
      </c>
      <c r="G71" s="24" t="s">
        <v>59</v>
      </c>
      <c r="H71" s="25">
        <v>41664.0</v>
      </c>
      <c r="I71" s="26">
        <v>0.12638888888888888</v>
      </c>
      <c r="J71" s="17" t="s">
        <v>354</v>
      </c>
      <c r="K71" s="1">
        <f t="shared" si="1"/>
        <v>3</v>
      </c>
      <c r="L71" s="1">
        <f t="shared" si="2"/>
        <v>2</v>
      </c>
      <c r="M71" s="1" t="str">
        <f t="shared" si="19"/>
        <v>#N/A</v>
      </c>
      <c r="N71" s="1" t="str">
        <f t="shared" si="4"/>
        <v>WIN</v>
      </c>
      <c r="O71" s="1">
        <f t="shared" si="5"/>
        <v>1</v>
      </c>
    </row>
    <row r="72" ht="15.75" customHeight="1">
      <c r="A72" s="1">
        <v>32.0</v>
      </c>
      <c r="B72" s="24" t="s">
        <v>1316</v>
      </c>
      <c r="C72" s="22">
        <v>0.6770833333333334</v>
      </c>
      <c r="D72" s="67" t="s">
        <v>24</v>
      </c>
      <c r="E72" s="13" t="s">
        <v>30</v>
      </c>
      <c r="F72" s="1" t="s">
        <v>115</v>
      </c>
      <c r="G72" s="24" t="s">
        <v>59</v>
      </c>
      <c r="H72" s="25">
        <v>48569.0</v>
      </c>
      <c r="I72" s="26">
        <v>0.16875</v>
      </c>
      <c r="J72" s="17" t="s">
        <v>53</v>
      </c>
      <c r="K72" s="1">
        <f t="shared" si="1"/>
        <v>4</v>
      </c>
      <c r="L72" s="1">
        <f t="shared" si="2"/>
        <v>3</v>
      </c>
      <c r="M72" s="1" t="str">
        <f>+CONCAT(K72,L72)</f>
        <v>43</v>
      </c>
      <c r="N72" s="1" t="str">
        <f t="shared" si="4"/>
        <v>WIN</v>
      </c>
      <c r="O72" s="1">
        <f t="shared" si="5"/>
        <v>1</v>
      </c>
    </row>
    <row r="73" ht="15.75" customHeight="1">
      <c r="A73" s="1">
        <v>9.0</v>
      </c>
      <c r="B73" s="24" t="s">
        <v>1317</v>
      </c>
      <c r="C73" s="22">
        <v>0.5416666666666666</v>
      </c>
      <c r="D73" s="67" t="s">
        <v>19</v>
      </c>
      <c r="E73" s="13" t="s">
        <v>33</v>
      </c>
      <c r="F73" s="1" t="s">
        <v>452</v>
      </c>
      <c r="G73" s="24" t="s">
        <v>59</v>
      </c>
      <c r="H73" s="25">
        <v>7295.0</v>
      </c>
      <c r="I73" s="26">
        <v>0.0020833333333333333</v>
      </c>
      <c r="J73" s="1" t="s">
        <v>437</v>
      </c>
      <c r="K73" s="1">
        <f t="shared" si="1"/>
        <v>0</v>
      </c>
      <c r="L73" s="1">
        <f t="shared" si="2"/>
        <v>3</v>
      </c>
      <c r="M73" s="1" t="str">
        <f t="shared" ref="M73:M82" si="20">+CONCAT(K73,"-",L73)</f>
        <v>#N/A</v>
      </c>
      <c r="N73" s="1" t="str">
        <f t="shared" si="4"/>
        <v>WIN</v>
      </c>
      <c r="O73" s="1">
        <f t="shared" si="5"/>
        <v>1</v>
      </c>
    </row>
    <row r="74" ht="15.75" customHeight="1">
      <c r="A74" s="1">
        <v>33.0</v>
      </c>
      <c r="B74" s="24" t="s">
        <v>1318</v>
      </c>
      <c r="C74" s="22">
        <v>0.8645833333333334</v>
      </c>
      <c r="D74" s="67" t="s">
        <v>24</v>
      </c>
      <c r="E74" s="13" t="s">
        <v>30</v>
      </c>
      <c r="F74" s="1" t="s">
        <v>506</v>
      </c>
      <c r="G74" s="24" t="s">
        <v>59</v>
      </c>
      <c r="H74" s="25">
        <v>75470.0</v>
      </c>
      <c r="I74" s="26">
        <v>0.08402777777777778</v>
      </c>
      <c r="J74" s="1" t="s">
        <v>500</v>
      </c>
      <c r="K74" s="1">
        <f t="shared" si="1"/>
        <v>2</v>
      </c>
      <c r="L74" s="1">
        <f t="shared" si="2"/>
        <v>1</v>
      </c>
      <c r="M74" s="1" t="str">
        <f t="shared" si="20"/>
        <v>#N/A</v>
      </c>
      <c r="N74" s="1" t="str">
        <f t="shared" si="4"/>
        <v>WIN</v>
      </c>
      <c r="O74" s="1">
        <f t="shared" si="5"/>
        <v>1</v>
      </c>
    </row>
    <row r="75" ht="15.75" customHeight="1">
      <c r="A75" s="1">
        <v>35.0</v>
      </c>
      <c r="B75" s="24" t="s">
        <v>1319</v>
      </c>
      <c r="C75" s="22">
        <v>0.875</v>
      </c>
      <c r="D75" s="67" t="s">
        <v>24</v>
      </c>
      <c r="E75" s="13" t="s">
        <v>30</v>
      </c>
      <c r="F75" s="1" t="s">
        <v>326</v>
      </c>
      <c r="G75" s="24" t="s">
        <v>59</v>
      </c>
      <c r="H75" s="25">
        <v>88049.0</v>
      </c>
      <c r="I75" s="26">
        <v>0.043055555555555555</v>
      </c>
      <c r="J75" s="17" t="s">
        <v>268</v>
      </c>
      <c r="K75" s="1">
        <f t="shared" si="1"/>
        <v>1</v>
      </c>
      <c r="L75" s="1">
        <f t="shared" si="2"/>
        <v>2</v>
      </c>
      <c r="M75" s="1" t="str">
        <f t="shared" si="20"/>
        <v>#N/A</v>
      </c>
      <c r="N75" s="1" t="str">
        <f t="shared" si="4"/>
        <v>LOSS</v>
      </c>
      <c r="O75" s="1">
        <f t="shared" si="5"/>
        <v>-1</v>
      </c>
    </row>
    <row r="76" ht="15.75" customHeight="1">
      <c r="A76" s="1">
        <v>9.0</v>
      </c>
      <c r="B76" s="24" t="s">
        <v>1320</v>
      </c>
      <c r="C76" s="22">
        <v>0.8645833333333334</v>
      </c>
      <c r="D76" s="67" t="s">
        <v>24</v>
      </c>
      <c r="E76" s="13" t="s">
        <v>33</v>
      </c>
      <c r="F76" s="1" t="s">
        <v>514</v>
      </c>
      <c r="G76" s="24" t="s">
        <v>59</v>
      </c>
      <c r="H76" s="25">
        <v>88712.0</v>
      </c>
      <c r="I76" s="26">
        <v>0.16805555555555557</v>
      </c>
      <c r="J76" s="1" t="s">
        <v>500</v>
      </c>
      <c r="K76" s="1">
        <f t="shared" si="1"/>
        <v>4</v>
      </c>
      <c r="L76" s="1">
        <f t="shared" si="2"/>
        <v>2</v>
      </c>
      <c r="M76" s="1" t="str">
        <f t="shared" si="20"/>
        <v>#N/A</v>
      </c>
      <c r="N76" s="1" t="str">
        <f t="shared" si="4"/>
        <v>WIN</v>
      </c>
      <c r="O76" s="1">
        <f t="shared" si="5"/>
        <v>1</v>
      </c>
    </row>
    <row r="77" ht="15.75" customHeight="1">
      <c r="A77" s="1">
        <v>14.0</v>
      </c>
      <c r="B77" s="24" t="s">
        <v>1321</v>
      </c>
      <c r="C77" s="22">
        <v>0.875</v>
      </c>
      <c r="D77" s="67" t="s">
        <v>24</v>
      </c>
      <c r="E77" s="13" t="s">
        <v>375</v>
      </c>
      <c r="F77" s="1" t="s">
        <v>379</v>
      </c>
      <c r="G77" s="24" t="s">
        <v>59</v>
      </c>
      <c r="H77" s="25">
        <v>74418.0</v>
      </c>
      <c r="I77" s="26">
        <v>0.041666666666666664</v>
      </c>
      <c r="J77" s="17" t="s">
        <v>354</v>
      </c>
      <c r="K77" s="1">
        <f t="shared" si="1"/>
        <v>1</v>
      </c>
      <c r="L77" s="1">
        <f t="shared" si="2"/>
        <v>0</v>
      </c>
      <c r="M77" s="1" t="str">
        <f t="shared" si="20"/>
        <v>#N/A</v>
      </c>
      <c r="N77" s="1" t="str">
        <f t="shared" si="4"/>
        <v>WIN</v>
      </c>
      <c r="O77" s="1">
        <f t="shared" si="5"/>
        <v>1</v>
      </c>
    </row>
    <row r="78" ht="15.75" customHeight="1">
      <c r="A78" s="24" t="s">
        <v>169</v>
      </c>
      <c r="B78" s="24" t="s">
        <v>1322</v>
      </c>
      <c r="C78" s="22">
        <v>0.8958333333333334</v>
      </c>
      <c r="D78" s="67" t="s">
        <v>19</v>
      </c>
      <c r="E78" s="13"/>
      <c r="F78" s="1" t="s">
        <v>585</v>
      </c>
      <c r="G78" s="24" t="s">
        <v>483</v>
      </c>
      <c r="H78" s="27">
        <v>68000.0</v>
      </c>
      <c r="I78" s="26">
        <v>0.003472222222222222</v>
      </c>
      <c r="J78" s="1" t="s">
        <v>591</v>
      </c>
      <c r="K78" s="1">
        <f t="shared" si="1"/>
        <v>0</v>
      </c>
      <c r="L78" s="1">
        <f t="shared" si="2"/>
        <v>5</v>
      </c>
      <c r="M78" s="1" t="str">
        <f t="shared" si="20"/>
        <v>#N/A</v>
      </c>
      <c r="N78" s="1" t="str">
        <f t="shared" si="4"/>
        <v>WIN</v>
      </c>
      <c r="O78" s="1">
        <f t="shared" si="5"/>
        <v>1</v>
      </c>
    </row>
    <row r="79" ht="15.75" customHeight="1">
      <c r="A79" s="1">
        <v>2.0</v>
      </c>
      <c r="B79" s="24" t="s">
        <v>1323</v>
      </c>
      <c r="C79" s="22">
        <v>0.9166666666666666</v>
      </c>
      <c r="D79" s="67" t="s">
        <v>19</v>
      </c>
      <c r="E79" s="13" t="s">
        <v>87</v>
      </c>
      <c r="F79" s="1" t="s">
        <v>356</v>
      </c>
      <c r="G79" s="24" t="s">
        <v>59</v>
      </c>
      <c r="H79" s="25">
        <v>9394.0</v>
      </c>
      <c r="I79" s="26">
        <v>0.04236111111111111</v>
      </c>
      <c r="J79" s="17" t="s">
        <v>354</v>
      </c>
      <c r="K79" s="1">
        <f t="shared" si="1"/>
        <v>1</v>
      </c>
      <c r="L79" s="1">
        <f t="shared" si="2"/>
        <v>1</v>
      </c>
      <c r="M79" s="1" t="str">
        <f t="shared" si="20"/>
        <v>#N/A</v>
      </c>
      <c r="N79" s="1" t="str">
        <f t="shared" si="4"/>
        <v>DRAW</v>
      </c>
      <c r="O79" s="1">
        <f t="shared" si="5"/>
        <v>0</v>
      </c>
    </row>
    <row r="80" ht="15.75" customHeight="1">
      <c r="A80" s="1">
        <v>5.0</v>
      </c>
      <c r="B80" s="24" t="s">
        <v>1324</v>
      </c>
      <c r="C80" s="22">
        <v>0.875</v>
      </c>
      <c r="D80" s="67" t="s">
        <v>19</v>
      </c>
      <c r="E80" s="13" t="s">
        <v>272</v>
      </c>
      <c r="F80" s="1" t="s">
        <v>446</v>
      </c>
      <c r="G80" s="24" t="s">
        <v>59</v>
      </c>
      <c r="H80" s="27">
        <v>18880.0</v>
      </c>
      <c r="I80" s="26">
        <v>0.08333333333333333</v>
      </c>
      <c r="J80" s="1" t="s">
        <v>437</v>
      </c>
      <c r="K80" s="1">
        <f t="shared" si="1"/>
        <v>2</v>
      </c>
      <c r="L80" s="1">
        <f t="shared" si="2"/>
        <v>0</v>
      </c>
      <c r="M80" s="1" t="str">
        <f t="shared" si="20"/>
        <v>#N/A</v>
      </c>
      <c r="N80" s="1" t="str">
        <f t="shared" si="4"/>
        <v>LOSS</v>
      </c>
      <c r="O80" s="1">
        <f t="shared" si="5"/>
        <v>-1</v>
      </c>
    </row>
    <row r="81" ht="15.75" customHeight="1">
      <c r="A81" s="1">
        <v>9.0</v>
      </c>
      <c r="B81" s="24" t="s">
        <v>1325</v>
      </c>
      <c r="C81" s="22">
        <v>0.8645833333333334</v>
      </c>
      <c r="D81" s="67" t="s">
        <v>24</v>
      </c>
      <c r="E81" s="13" t="s">
        <v>30</v>
      </c>
      <c r="F81" s="1" t="s">
        <v>604</v>
      </c>
      <c r="G81" s="24" t="s">
        <v>59</v>
      </c>
      <c r="H81" s="25">
        <v>74397.0</v>
      </c>
      <c r="I81" s="26">
        <v>0.08333333333333333</v>
      </c>
      <c r="J81" s="1" t="s">
        <v>591</v>
      </c>
      <c r="K81" s="1">
        <f t="shared" si="1"/>
        <v>2</v>
      </c>
      <c r="L81" s="1">
        <f t="shared" si="2"/>
        <v>0</v>
      </c>
      <c r="M81" s="1" t="str">
        <f t="shared" si="20"/>
        <v>#N/A</v>
      </c>
      <c r="N81" s="1" t="str">
        <f t="shared" si="4"/>
        <v>WIN</v>
      </c>
      <c r="O81" s="1">
        <f t="shared" si="5"/>
        <v>1</v>
      </c>
    </row>
    <row r="82" ht="15.75" customHeight="1">
      <c r="A82" s="1">
        <v>18.0</v>
      </c>
      <c r="B82" s="24" t="s">
        <v>1326</v>
      </c>
      <c r="C82" s="22">
        <v>0.6666666666666666</v>
      </c>
      <c r="D82" s="67" t="s">
        <v>24</v>
      </c>
      <c r="E82" s="13" t="s">
        <v>30</v>
      </c>
      <c r="F82" s="1" t="s">
        <v>200</v>
      </c>
      <c r="G82" s="24" t="s">
        <v>59</v>
      </c>
      <c r="H82" s="25">
        <v>63054.0</v>
      </c>
      <c r="I82" s="26">
        <v>0.1673611111111111</v>
      </c>
      <c r="J82" s="1" t="s">
        <v>437</v>
      </c>
      <c r="K82" s="1">
        <f t="shared" si="1"/>
        <v>4</v>
      </c>
      <c r="L82" s="1">
        <f t="shared" si="2"/>
        <v>1</v>
      </c>
      <c r="M82" s="1" t="str">
        <f t="shared" si="20"/>
        <v>#N/A</v>
      </c>
      <c r="N82" s="1" t="str">
        <f t="shared" si="4"/>
        <v>WIN</v>
      </c>
      <c r="O82" s="1">
        <f t="shared" si="5"/>
        <v>1</v>
      </c>
    </row>
    <row r="83" ht="15.75" customHeight="1">
      <c r="A83" s="1">
        <v>18.0</v>
      </c>
      <c r="B83" s="24" t="s">
        <v>1327</v>
      </c>
      <c r="C83" s="22">
        <v>0.875</v>
      </c>
      <c r="D83" s="67" t="s">
        <v>24</v>
      </c>
      <c r="E83" s="13" t="s">
        <v>87</v>
      </c>
      <c r="F83" s="1" t="s">
        <v>88</v>
      </c>
      <c r="G83" s="24" t="s">
        <v>59</v>
      </c>
      <c r="H83" s="25">
        <v>46249.0</v>
      </c>
      <c r="I83" s="26">
        <v>0.043055555555555555</v>
      </c>
      <c r="J83" s="17" t="s">
        <v>53</v>
      </c>
      <c r="K83" s="1">
        <f t="shared" si="1"/>
        <v>1</v>
      </c>
      <c r="L83" s="1">
        <f t="shared" si="2"/>
        <v>2</v>
      </c>
      <c r="M83" s="1" t="str">
        <f>+CONCAT(K83,L83)</f>
        <v>12</v>
      </c>
      <c r="N83" s="1" t="str">
        <f t="shared" si="4"/>
        <v>LOSS</v>
      </c>
      <c r="O83" s="1">
        <f t="shared" si="5"/>
        <v>-1</v>
      </c>
    </row>
    <row r="84" ht="15.75" customHeight="1">
      <c r="A84" s="1">
        <v>25.0</v>
      </c>
      <c r="B84" s="24" t="s">
        <v>1328</v>
      </c>
      <c r="C84" s="22">
        <v>0.6666666666666666</v>
      </c>
      <c r="D84" s="67" t="s">
        <v>24</v>
      </c>
      <c r="E84" s="13" t="s">
        <v>33</v>
      </c>
      <c r="F84" s="1" t="s">
        <v>481</v>
      </c>
      <c r="G84" s="24" t="s">
        <v>477</v>
      </c>
      <c r="H84" s="25">
        <v>66970.0</v>
      </c>
      <c r="I84" s="26">
        <v>0.20833333333333334</v>
      </c>
      <c r="J84" s="1" t="s">
        <v>437</v>
      </c>
      <c r="K84" s="1">
        <f t="shared" si="1"/>
        <v>5</v>
      </c>
      <c r="L84" s="1">
        <f t="shared" si="2"/>
        <v>0</v>
      </c>
      <c r="M84" s="1" t="str">
        <f>+CONCAT(K84,"-",L84)</f>
        <v>#N/A</v>
      </c>
      <c r="N84" s="1" t="str">
        <f t="shared" si="4"/>
        <v>WIN</v>
      </c>
      <c r="O84" s="1">
        <f t="shared" si="5"/>
        <v>1</v>
      </c>
    </row>
    <row r="85" ht="15.75" customHeight="1">
      <c r="A85" s="1">
        <v>25.0</v>
      </c>
      <c r="B85" s="24" t="s">
        <v>1329</v>
      </c>
      <c r="C85" s="22">
        <v>0.875</v>
      </c>
      <c r="D85" s="67" t="s">
        <v>19</v>
      </c>
      <c r="E85" s="13" t="s">
        <v>30</v>
      </c>
      <c r="F85" s="1" t="s">
        <v>81</v>
      </c>
      <c r="G85" s="24" t="s">
        <v>21</v>
      </c>
      <c r="H85" s="25">
        <v>30746.0</v>
      </c>
      <c r="I85" s="26">
        <v>0.001388888888888889</v>
      </c>
      <c r="J85" s="17" t="s">
        <v>53</v>
      </c>
      <c r="K85" s="1">
        <f t="shared" si="1"/>
        <v>0</v>
      </c>
      <c r="L85" s="1">
        <f t="shared" si="2"/>
        <v>2</v>
      </c>
      <c r="M85" s="1" t="str">
        <f>+CONCAT(K85,L85)</f>
        <v>02</v>
      </c>
      <c r="N85" s="1" t="str">
        <f t="shared" si="4"/>
        <v>WIN</v>
      </c>
      <c r="O85" s="1">
        <f t="shared" si="5"/>
        <v>1</v>
      </c>
    </row>
    <row r="86" ht="15.75" customHeight="1">
      <c r="A86" s="1">
        <v>17.0</v>
      </c>
      <c r="B86" s="24" t="s">
        <v>1330</v>
      </c>
      <c r="C86" s="22">
        <v>0.7708333333333334</v>
      </c>
      <c r="D86" s="67" t="s">
        <v>24</v>
      </c>
      <c r="E86" s="13" t="s">
        <v>30</v>
      </c>
      <c r="F86" s="1" t="s">
        <v>528</v>
      </c>
      <c r="G86" s="24" t="s">
        <v>59</v>
      </c>
      <c r="H86" s="25">
        <v>78686.0</v>
      </c>
      <c r="I86" s="26">
        <v>0.08333333333333333</v>
      </c>
      <c r="J86" s="1" t="s">
        <v>500</v>
      </c>
      <c r="K86" s="1">
        <f t="shared" si="1"/>
        <v>2</v>
      </c>
      <c r="L86" s="1">
        <f t="shared" si="2"/>
        <v>0</v>
      </c>
      <c r="M86" s="1" t="str">
        <f t="shared" ref="M86:M87" si="21">+CONCAT(K86,"-",L86)</f>
        <v>#N/A</v>
      </c>
      <c r="N86" s="1" t="str">
        <f t="shared" si="4"/>
        <v>WIN</v>
      </c>
      <c r="O86" s="1">
        <f t="shared" si="5"/>
        <v>1</v>
      </c>
    </row>
    <row r="87" ht="15.75" customHeight="1">
      <c r="A87" s="1">
        <v>25.0</v>
      </c>
      <c r="B87" s="24" t="s">
        <v>1331</v>
      </c>
      <c r="C87" s="22">
        <v>0.6770833333333334</v>
      </c>
      <c r="D87" s="67" t="s">
        <v>19</v>
      </c>
      <c r="E87" s="13" t="s">
        <v>30</v>
      </c>
      <c r="F87" s="1" t="s">
        <v>450</v>
      </c>
      <c r="G87" s="24" t="s">
        <v>59</v>
      </c>
      <c r="H87" s="25">
        <v>40661.0</v>
      </c>
      <c r="I87" s="26">
        <v>0.08611111111111111</v>
      </c>
      <c r="J87" s="1" t="s">
        <v>500</v>
      </c>
      <c r="K87" s="1">
        <f t="shared" si="1"/>
        <v>2</v>
      </c>
      <c r="L87" s="1">
        <f t="shared" si="2"/>
        <v>4</v>
      </c>
      <c r="M87" s="1" t="str">
        <f t="shared" si="21"/>
        <v>#N/A</v>
      </c>
      <c r="N87" s="1" t="str">
        <f t="shared" si="4"/>
        <v>WIN</v>
      </c>
      <c r="O87" s="1">
        <f t="shared" si="5"/>
        <v>1</v>
      </c>
    </row>
    <row r="88" ht="15.75" customHeight="1">
      <c r="A88" s="1">
        <v>2.0</v>
      </c>
      <c r="B88" s="24" t="s">
        <v>1332</v>
      </c>
      <c r="C88" s="22">
        <v>0.8958333333333334</v>
      </c>
      <c r="D88" s="67" t="s">
        <v>19</v>
      </c>
      <c r="E88" s="13" t="s">
        <v>30</v>
      </c>
      <c r="F88" s="1" t="s">
        <v>40</v>
      </c>
      <c r="G88" s="24" t="s">
        <v>21</v>
      </c>
      <c r="H88" s="25">
        <v>23415.0</v>
      </c>
      <c r="I88" s="26">
        <v>0.08541666666666667</v>
      </c>
      <c r="J88" s="17" t="s">
        <v>22</v>
      </c>
      <c r="K88" s="1">
        <f t="shared" si="1"/>
        <v>2</v>
      </c>
      <c r="L88" s="1">
        <f t="shared" si="2"/>
        <v>3</v>
      </c>
      <c r="M88" s="1" t="str">
        <f>+CONCAT(K88,L88)</f>
        <v>23</v>
      </c>
      <c r="N88" s="1" t="str">
        <f t="shared" si="4"/>
        <v>WIN</v>
      </c>
      <c r="O88" s="1">
        <f t="shared" si="5"/>
        <v>1</v>
      </c>
    </row>
    <row r="89" ht="15.75" customHeight="1">
      <c r="A89" s="1">
        <v>6.0</v>
      </c>
      <c r="B89" s="24" t="s">
        <v>1333</v>
      </c>
      <c r="C89" s="22">
        <v>0.8645833333333334</v>
      </c>
      <c r="D89" s="67" t="s">
        <v>19</v>
      </c>
      <c r="E89" s="13" t="s">
        <v>30</v>
      </c>
      <c r="F89" s="1" t="s">
        <v>599</v>
      </c>
      <c r="G89" s="45">
        <v>37350.0</v>
      </c>
      <c r="H89" s="27">
        <v>13500.0</v>
      </c>
      <c r="I89" s="26">
        <v>0.0020833333333333333</v>
      </c>
      <c r="J89" s="1" t="s">
        <v>591</v>
      </c>
      <c r="K89" s="1">
        <f t="shared" si="1"/>
        <v>0</v>
      </c>
      <c r="L89" s="1">
        <f t="shared" si="2"/>
        <v>3</v>
      </c>
      <c r="M89" s="1" t="str">
        <f>+CONCAT(K89,"-",L89)</f>
        <v>#N/A</v>
      </c>
      <c r="N89" s="1" t="str">
        <f t="shared" si="4"/>
        <v>WIN</v>
      </c>
      <c r="O89" s="1">
        <f t="shared" si="5"/>
        <v>1</v>
      </c>
    </row>
    <row r="90" ht="15.75" customHeight="1">
      <c r="A90" s="1">
        <v>6.0</v>
      </c>
      <c r="B90" s="24" t="s">
        <v>1334</v>
      </c>
      <c r="C90" s="22">
        <v>0.7708333333333334</v>
      </c>
      <c r="D90" s="67" t="s">
        <v>24</v>
      </c>
      <c r="E90" s="13" t="s">
        <v>33</v>
      </c>
      <c r="F90" s="1" t="s">
        <v>187</v>
      </c>
      <c r="G90" s="24" t="s">
        <v>59</v>
      </c>
      <c r="H90" s="25">
        <v>43272.0</v>
      </c>
      <c r="I90" s="26">
        <v>0.12638888888888888</v>
      </c>
      <c r="J90" s="17" t="s">
        <v>175</v>
      </c>
      <c r="K90" s="1">
        <f t="shared" si="1"/>
        <v>3</v>
      </c>
      <c r="L90" s="1">
        <f t="shared" si="2"/>
        <v>2</v>
      </c>
      <c r="M90" s="1" t="str">
        <f>+CONCAT(K90,L90)</f>
        <v>32</v>
      </c>
      <c r="N90" s="1" t="str">
        <f t="shared" si="4"/>
        <v>WIN</v>
      </c>
      <c r="O90" s="1">
        <f t="shared" si="5"/>
        <v>1</v>
      </c>
    </row>
    <row r="91" ht="15.75" customHeight="1">
      <c r="A91" s="1">
        <v>14.0</v>
      </c>
      <c r="B91" s="24" t="s">
        <v>1335</v>
      </c>
      <c r="C91" s="22">
        <v>0.5416666666666666</v>
      </c>
      <c r="D91" s="67" t="s">
        <v>19</v>
      </c>
      <c r="E91" s="13" t="s">
        <v>30</v>
      </c>
      <c r="F91" s="1" t="s">
        <v>461</v>
      </c>
      <c r="G91" s="24" t="s">
        <v>21</v>
      </c>
      <c r="H91" s="25">
        <v>12110.0</v>
      </c>
      <c r="I91" s="26">
        <v>0.043055555555555555</v>
      </c>
      <c r="J91" s="1" t="s">
        <v>437</v>
      </c>
      <c r="K91" s="1">
        <f t="shared" si="1"/>
        <v>1</v>
      </c>
      <c r="L91" s="1">
        <f t="shared" si="2"/>
        <v>2</v>
      </c>
      <c r="M91" s="1" t="str">
        <f>+CONCAT(K91,"-",L91)</f>
        <v>#N/A</v>
      </c>
      <c r="N91" s="1" t="str">
        <f t="shared" si="4"/>
        <v>WIN</v>
      </c>
      <c r="O91" s="1">
        <f t="shared" si="5"/>
        <v>1</v>
      </c>
    </row>
    <row r="92" ht="15.75" customHeight="1">
      <c r="A92" s="1">
        <v>14.0</v>
      </c>
      <c r="B92" s="24" t="s">
        <v>1336</v>
      </c>
      <c r="C92" s="22">
        <v>0.875</v>
      </c>
      <c r="D92" s="67" t="s">
        <v>19</v>
      </c>
      <c r="E92" s="13" t="s">
        <v>30</v>
      </c>
      <c r="F92" s="1" t="s">
        <v>79</v>
      </c>
      <c r="G92" s="24" t="s">
        <v>59</v>
      </c>
      <c r="H92" s="25">
        <v>24573.0</v>
      </c>
      <c r="I92" s="26">
        <v>0.08472222222222223</v>
      </c>
      <c r="J92" s="17" t="s">
        <v>53</v>
      </c>
      <c r="K92" s="1">
        <f t="shared" si="1"/>
        <v>2</v>
      </c>
      <c r="L92" s="1">
        <f t="shared" si="2"/>
        <v>2</v>
      </c>
      <c r="M92" s="1" t="str">
        <f>+CONCAT(K92,L92)</f>
        <v>22</v>
      </c>
      <c r="N92" s="1" t="str">
        <f t="shared" si="4"/>
        <v>DRAW</v>
      </c>
      <c r="O92" s="1">
        <f t="shared" si="5"/>
        <v>0</v>
      </c>
    </row>
    <row r="93" ht="15.75" customHeight="1">
      <c r="A93" s="1">
        <v>17.0</v>
      </c>
      <c r="B93" s="24" t="s">
        <v>1337</v>
      </c>
      <c r="C93" s="22">
        <v>0.5416666666666666</v>
      </c>
      <c r="D93" s="67" t="s">
        <v>19</v>
      </c>
      <c r="E93" s="13" t="s">
        <v>30</v>
      </c>
      <c r="F93" s="1" t="s">
        <v>543</v>
      </c>
      <c r="G93" s="45">
        <v>37350.0</v>
      </c>
      <c r="H93" s="25">
        <v>80264.0</v>
      </c>
      <c r="I93" s="26">
        <v>0.0020833333333333333</v>
      </c>
      <c r="J93" s="1" t="s">
        <v>591</v>
      </c>
      <c r="K93" s="1">
        <f t="shared" si="1"/>
        <v>0</v>
      </c>
      <c r="L93" s="1">
        <f t="shared" si="2"/>
        <v>3</v>
      </c>
      <c r="M93" s="1" t="str">
        <f t="shared" ref="M93:M94" si="22">+CONCAT(K93,"-",L93)</f>
        <v>#N/A</v>
      </c>
      <c r="N93" s="1" t="str">
        <f t="shared" si="4"/>
        <v>WIN</v>
      </c>
      <c r="O93" s="1">
        <f t="shared" si="5"/>
        <v>1</v>
      </c>
    </row>
    <row r="94" ht="15.75" customHeight="1">
      <c r="A94" s="1">
        <v>25.0</v>
      </c>
      <c r="B94" s="24" t="s">
        <v>1338</v>
      </c>
      <c r="C94" s="22">
        <v>0.8645833333333334</v>
      </c>
      <c r="D94" s="67" t="s">
        <v>24</v>
      </c>
      <c r="E94" s="13" t="s">
        <v>30</v>
      </c>
      <c r="F94" s="1" t="s">
        <v>631</v>
      </c>
      <c r="G94" s="24" t="s">
        <v>483</v>
      </c>
      <c r="H94" s="25">
        <v>85417.0</v>
      </c>
      <c r="I94" s="26">
        <v>0.25069444444444444</v>
      </c>
      <c r="J94" s="1" t="s">
        <v>591</v>
      </c>
      <c r="K94" s="1">
        <f t="shared" si="1"/>
        <v>6</v>
      </c>
      <c r="L94" s="1">
        <f t="shared" si="2"/>
        <v>1</v>
      </c>
      <c r="M94" s="1" t="str">
        <f t="shared" si="22"/>
        <v>#N/A</v>
      </c>
      <c r="N94" s="1" t="str">
        <f t="shared" si="4"/>
        <v>WIN</v>
      </c>
      <c r="O94" s="1">
        <f t="shared" si="5"/>
        <v>1</v>
      </c>
    </row>
    <row r="95" ht="15.75" customHeight="1">
      <c r="A95" s="1">
        <v>26.0</v>
      </c>
      <c r="B95" s="24" t="s">
        <v>1339</v>
      </c>
      <c r="C95" s="22">
        <v>0.6770833333333334</v>
      </c>
      <c r="D95" s="67" t="s">
        <v>24</v>
      </c>
      <c r="E95" s="13" t="s">
        <v>87</v>
      </c>
      <c r="F95" s="1" t="s">
        <v>222</v>
      </c>
      <c r="G95" s="24" t="s">
        <v>59</v>
      </c>
      <c r="H95" s="25">
        <v>36803.0</v>
      </c>
      <c r="I95" s="26">
        <v>0.16666666666666666</v>
      </c>
      <c r="J95" s="17" t="s">
        <v>175</v>
      </c>
      <c r="K95" s="1">
        <f t="shared" si="1"/>
        <v>4</v>
      </c>
      <c r="L95" s="1">
        <f t="shared" si="2"/>
        <v>0</v>
      </c>
      <c r="M95" s="1" t="str">
        <f t="shared" ref="M95:M96" si="23">+CONCAT(K95,L95)</f>
        <v>40</v>
      </c>
      <c r="N95" s="1" t="str">
        <f t="shared" si="4"/>
        <v>WIN</v>
      </c>
      <c r="O95" s="1">
        <f t="shared" si="5"/>
        <v>1</v>
      </c>
    </row>
    <row r="96" ht="15.75" customHeight="1">
      <c r="A96" s="1">
        <v>2.0</v>
      </c>
      <c r="B96" s="24" t="s">
        <v>1340</v>
      </c>
      <c r="C96" s="22">
        <v>0.7916666666666666</v>
      </c>
      <c r="D96" s="67" t="s">
        <v>24</v>
      </c>
      <c r="E96" s="13" t="s">
        <v>30</v>
      </c>
      <c r="F96" s="1" t="s">
        <v>55</v>
      </c>
      <c r="G96" s="24" t="s">
        <v>21</v>
      </c>
      <c r="H96" s="25">
        <v>46448.0</v>
      </c>
      <c r="I96" s="26">
        <v>0.08402777777777778</v>
      </c>
      <c r="J96" s="17" t="s">
        <v>53</v>
      </c>
      <c r="K96" s="1">
        <f t="shared" si="1"/>
        <v>2</v>
      </c>
      <c r="L96" s="1">
        <f t="shared" si="2"/>
        <v>1</v>
      </c>
      <c r="M96" s="1" t="str">
        <f t="shared" si="23"/>
        <v>21</v>
      </c>
      <c r="N96" s="1" t="str">
        <f t="shared" si="4"/>
        <v>WIN</v>
      </c>
      <c r="O96" s="1">
        <f t="shared" si="5"/>
        <v>1</v>
      </c>
    </row>
    <row r="97" ht="15.75" customHeight="1">
      <c r="A97" s="1">
        <v>13.0</v>
      </c>
      <c r="B97" s="24" t="s">
        <v>1341</v>
      </c>
      <c r="C97" s="22">
        <v>0.8645833333333334</v>
      </c>
      <c r="D97" s="67" t="s">
        <v>19</v>
      </c>
      <c r="E97" s="13" t="s">
        <v>30</v>
      </c>
      <c r="F97" s="1" t="s">
        <v>107</v>
      </c>
      <c r="G97" s="24" t="s">
        <v>483</v>
      </c>
      <c r="H97" s="25">
        <v>67204.0</v>
      </c>
      <c r="I97" s="26">
        <v>0.04236111111111111</v>
      </c>
      <c r="J97" s="1" t="s">
        <v>500</v>
      </c>
      <c r="K97" s="1">
        <f t="shared" si="1"/>
        <v>1</v>
      </c>
      <c r="L97" s="1">
        <f t="shared" si="2"/>
        <v>1</v>
      </c>
      <c r="M97" s="1" t="str">
        <f t="shared" ref="M97:M100" si="24">+CONCAT(K97,"-",L97)</f>
        <v>#N/A</v>
      </c>
      <c r="N97" s="1" t="str">
        <f t="shared" si="4"/>
        <v>DRAW</v>
      </c>
      <c r="O97" s="1">
        <f t="shared" si="5"/>
        <v>0</v>
      </c>
    </row>
    <row r="98" ht="15.75" customHeight="1">
      <c r="A98" s="1">
        <v>21.0</v>
      </c>
      <c r="B98" s="24" t="s">
        <v>1342</v>
      </c>
      <c r="C98" s="22">
        <v>0.6666666666666666</v>
      </c>
      <c r="D98" s="67" t="s">
        <v>19</v>
      </c>
      <c r="E98" s="13" t="s">
        <v>30</v>
      </c>
      <c r="F98" s="1" t="s">
        <v>472</v>
      </c>
      <c r="G98" s="24" t="s">
        <v>418</v>
      </c>
      <c r="H98" s="25">
        <v>45882.0</v>
      </c>
      <c r="I98" s="26">
        <v>0.08333333333333333</v>
      </c>
      <c r="J98" s="1" t="s">
        <v>437</v>
      </c>
      <c r="K98" s="1">
        <f t="shared" si="1"/>
        <v>2</v>
      </c>
      <c r="L98" s="1">
        <f t="shared" si="2"/>
        <v>0</v>
      </c>
      <c r="M98" s="1" t="str">
        <f t="shared" si="24"/>
        <v>#N/A</v>
      </c>
      <c r="N98" s="1" t="str">
        <f t="shared" si="4"/>
        <v>LOSS</v>
      </c>
      <c r="O98" s="1">
        <f t="shared" si="5"/>
        <v>-1</v>
      </c>
    </row>
    <row r="99" ht="15.75" customHeight="1">
      <c r="A99" s="24" t="s">
        <v>169</v>
      </c>
      <c r="B99" s="24" t="s">
        <v>1343</v>
      </c>
      <c r="C99" s="22">
        <v>0.875</v>
      </c>
      <c r="D99" s="67" t="s">
        <v>24</v>
      </c>
      <c r="E99" s="13"/>
      <c r="F99" s="1" t="s">
        <v>165</v>
      </c>
      <c r="G99" s="24" t="s">
        <v>59</v>
      </c>
      <c r="H99" s="25">
        <v>53698.0</v>
      </c>
      <c r="I99" s="26">
        <v>0.043055555555555555</v>
      </c>
      <c r="J99" s="1" t="s">
        <v>500</v>
      </c>
      <c r="K99" s="1">
        <f t="shared" si="1"/>
        <v>1</v>
      </c>
      <c r="L99" s="1">
        <f t="shared" si="2"/>
        <v>2</v>
      </c>
      <c r="M99" s="1" t="str">
        <f t="shared" si="24"/>
        <v>#N/A</v>
      </c>
      <c r="N99" s="1" t="str">
        <f t="shared" si="4"/>
        <v>LOSS</v>
      </c>
      <c r="O99" s="1">
        <f t="shared" si="5"/>
        <v>-1</v>
      </c>
    </row>
    <row r="100" ht="15.75" customHeight="1">
      <c r="A100" s="1">
        <v>2.0</v>
      </c>
      <c r="B100" s="24" t="s">
        <v>1344</v>
      </c>
      <c r="C100" s="22">
        <v>0.9270833333333334</v>
      </c>
      <c r="D100" s="67" t="s">
        <v>19</v>
      </c>
      <c r="E100" s="13" t="s">
        <v>33</v>
      </c>
      <c r="F100" s="1" t="s">
        <v>502</v>
      </c>
      <c r="G100" s="24" t="s">
        <v>59</v>
      </c>
      <c r="H100" s="25">
        <v>22651.0</v>
      </c>
      <c r="I100" s="26">
        <v>6.944444444444445E-4</v>
      </c>
      <c r="J100" s="1" t="s">
        <v>500</v>
      </c>
      <c r="K100" s="1">
        <f t="shared" si="1"/>
        <v>0</v>
      </c>
      <c r="L100" s="1">
        <f t="shared" si="2"/>
        <v>1</v>
      </c>
      <c r="M100" s="1" t="str">
        <f t="shared" si="24"/>
        <v>#N/A</v>
      </c>
      <c r="N100" s="1" t="str">
        <f t="shared" si="4"/>
        <v>WIN</v>
      </c>
      <c r="O100" s="1">
        <f t="shared" si="5"/>
        <v>1</v>
      </c>
    </row>
    <row r="101" ht="15.75" customHeight="1">
      <c r="A101" s="1">
        <v>14.0</v>
      </c>
      <c r="B101" s="24" t="s">
        <v>1345</v>
      </c>
      <c r="C101" s="22">
        <v>0.5833333333333334</v>
      </c>
      <c r="D101" s="67" t="s">
        <v>19</v>
      </c>
      <c r="E101" s="13" t="s">
        <v>43</v>
      </c>
      <c r="F101" s="1" t="s">
        <v>202</v>
      </c>
      <c r="G101" s="24" t="s">
        <v>59</v>
      </c>
      <c r="H101" s="25">
        <v>14148.0</v>
      </c>
      <c r="I101" s="26">
        <v>0.04236111111111111</v>
      </c>
      <c r="J101" s="17" t="s">
        <v>175</v>
      </c>
      <c r="K101" s="1">
        <f t="shared" si="1"/>
        <v>1</v>
      </c>
      <c r="L101" s="1">
        <f t="shared" si="2"/>
        <v>1</v>
      </c>
      <c r="M101" s="1" t="str">
        <f t="shared" ref="M101:M102" si="25">+CONCAT(K101,L101)</f>
        <v>11</v>
      </c>
      <c r="N101" s="1" t="str">
        <f t="shared" si="4"/>
        <v>DRAW</v>
      </c>
      <c r="O101" s="1">
        <f t="shared" si="5"/>
        <v>0</v>
      </c>
    </row>
    <row r="102" ht="15.75" customHeight="1">
      <c r="A102" s="24" t="s">
        <v>169</v>
      </c>
      <c r="B102" s="24" t="s">
        <v>1346</v>
      </c>
      <c r="C102" s="22">
        <v>0.9166666666666666</v>
      </c>
      <c r="D102" s="67" t="s">
        <v>24</v>
      </c>
      <c r="E102" s="13"/>
      <c r="F102" s="1" t="s">
        <v>171</v>
      </c>
      <c r="G102" s="24" t="s">
        <v>21</v>
      </c>
      <c r="H102" s="24"/>
      <c r="I102" s="28" t="s">
        <v>172</v>
      </c>
      <c r="J102" s="17" t="s">
        <v>53</v>
      </c>
      <c r="K102" s="1" t="str">
        <f t="shared" si="1"/>
        <v>#VALUE!</v>
      </c>
      <c r="L102" s="1" t="str">
        <f t="shared" si="2"/>
        <v>#VALUE!</v>
      </c>
      <c r="M102" s="1" t="str">
        <f t="shared" si="25"/>
        <v>#VALUE!</v>
      </c>
      <c r="N102" s="1" t="str">
        <f t="shared" si="4"/>
        <v>#VALUE!</v>
      </c>
      <c r="O102" s="1" t="str">
        <f t="shared" si="5"/>
        <v>#VALUE!</v>
      </c>
    </row>
    <row r="103" ht="15.75" customHeight="1">
      <c r="A103" s="1">
        <v>2.0</v>
      </c>
      <c r="B103" s="24" t="s">
        <v>1347</v>
      </c>
      <c r="C103" s="22">
        <v>0.7604166666666666</v>
      </c>
      <c r="D103" s="67" t="s">
        <v>19</v>
      </c>
      <c r="E103" s="13" t="s">
        <v>33</v>
      </c>
      <c r="F103" s="1" t="s">
        <v>593</v>
      </c>
      <c r="G103" s="24" t="s">
        <v>59</v>
      </c>
      <c r="H103" s="25">
        <v>14934.0</v>
      </c>
      <c r="I103" s="26">
        <v>0.001388888888888889</v>
      </c>
      <c r="J103" s="1" t="s">
        <v>591</v>
      </c>
      <c r="K103" s="1">
        <f t="shared" si="1"/>
        <v>0</v>
      </c>
      <c r="L103" s="1">
        <f t="shared" si="2"/>
        <v>2</v>
      </c>
      <c r="M103" s="1" t="str">
        <f>+CONCAT(K103,"-",L103)</f>
        <v>#N/A</v>
      </c>
      <c r="N103" s="1" t="str">
        <f t="shared" si="4"/>
        <v>WIN</v>
      </c>
      <c r="O103" s="1">
        <f t="shared" si="5"/>
        <v>1</v>
      </c>
    </row>
    <row r="104" ht="15.75" customHeight="1">
      <c r="A104" s="1">
        <v>11.0</v>
      </c>
      <c r="B104" s="24" t="s">
        <v>1348</v>
      </c>
      <c r="C104" s="22">
        <v>0.875</v>
      </c>
      <c r="D104" s="67" t="s">
        <v>19</v>
      </c>
      <c r="E104" s="13" t="s">
        <v>30</v>
      </c>
      <c r="F104" s="1" t="s">
        <v>73</v>
      </c>
      <c r="G104" s="24" t="s">
        <v>21</v>
      </c>
      <c r="H104" s="25">
        <v>78192.0</v>
      </c>
      <c r="I104" s="26">
        <v>0.002777777777777778</v>
      </c>
      <c r="J104" s="17" t="s">
        <v>53</v>
      </c>
      <c r="K104" s="1">
        <f t="shared" si="1"/>
        <v>0</v>
      </c>
      <c r="L104" s="1">
        <f t="shared" si="2"/>
        <v>4</v>
      </c>
      <c r="M104" s="1" t="str">
        <f t="shared" ref="M104:M105" si="26">+CONCAT(K104,L104)</f>
        <v>04</v>
      </c>
      <c r="N104" s="1" t="str">
        <f t="shared" si="4"/>
        <v>WIN</v>
      </c>
      <c r="O104" s="1">
        <f t="shared" si="5"/>
        <v>1</v>
      </c>
    </row>
    <row r="105" ht="15.75" customHeight="1">
      <c r="A105" s="1">
        <v>22.0</v>
      </c>
      <c r="B105" s="24" t="s">
        <v>1349</v>
      </c>
      <c r="C105" s="22">
        <v>0.7708333333333334</v>
      </c>
      <c r="D105" s="67" t="s">
        <v>24</v>
      </c>
      <c r="E105" s="13" t="s">
        <v>87</v>
      </c>
      <c r="F105" s="1" t="s">
        <v>216</v>
      </c>
      <c r="G105" s="24" t="s">
        <v>59</v>
      </c>
      <c r="H105" s="25">
        <v>46229.0</v>
      </c>
      <c r="I105" s="26">
        <v>0.1284722222222222</v>
      </c>
      <c r="J105" s="17" t="s">
        <v>175</v>
      </c>
      <c r="K105" s="1">
        <f t="shared" si="1"/>
        <v>3</v>
      </c>
      <c r="L105" s="1">
        <f t="shared" si="2"/>
        <v>5</v>
      </c>
      <c r="M105" s="1" t="str">
        <f t="shared" si="26"/>
        <v>35</v>
      </c>
      <c r="N105" s="1" t="str">
        <f t="shared" si="4"/>
        <v>LOSS</v>
      </c>
      <c r="O105" s="1">
        <f t="shared" si="5"/>
        <v>-1</v>
      </c>
    </row>
    <row r="106" ht="15.75" customHeight="1">
      <c r="A106" s="1">
        <v>35.0</v>
      </c>
      <c r="B106" s="24" t="s">
        <v>1350</v>
      </c>
      <c r="C106" s="22">
        <v>0.8645833333333334</v>
      </c>
      <c r="D106" s="67" t="s">
        <v>24</v>
      </c>
      <c r="E106" s="13" t="s">
        <v>30</v>
      </c>
      <c r="F106" s="1" t="s">
        <v>40</v>
      </c>
      <c r="G106" s="24" t="s">
        <v>59</v>
      </c>
      <c r="H106" s="25">
        <v>91917.0</v>
      </c>
      <c r="I106" s="26">
        <v>0.041666666666666664</v>
      </c>
      <c r="J106" s="1" t="s">
        <v>500</v>
      </c>
      <c r="K106" s="1">
        <f t="shared" si="1"/>
        <v>1</v>
      </c>
      <c r="L106" s="1">
        <f t="shared" si="2"/>
        <v>0</v>
      </c>
      <c r="M106" s="1" t="str">
        <f t="shared" ref="M106:M109" si="27">+CONCAT(K106,"-",L106)</f>
        <v>#N/A</v>
      </c>
      <c r="N106" s="1" t="str">
        <f t="shared" si="4"/>
        <v>WIN</v>
      </c>
      <c r="O106" s="1">
        <f t="shared" si="5"/>
        <v>1</v>
      </c>
    </row>
    <row r="107" ht="15.75" customHeight="1">
      <c r="A107" s="1">
        <v>15.0</v>
      </c>
      <c r="B107" s="24" t="s">
        <v>1351</v>
      </c>
      <c r="C107" s="22">
        <v>0.875</v>
      </c>
      <c r="D107" s="67" t="s">
        <v>19</v>
      </c>
      <c r="E107" s="13" t="s">
        <v>381</v>
      </c>
      <c r="F107" s="1" t="s">
        <v>382</v>
      </c>
      <c r="G107" s="24" t="s">
        <v>59</v>
      </c>
      <c r="H107" s="25">
        <v>19050.0</v>
      </c>
      <c r="I107" s="26">
        <v>0.04375</v>
      </c>
      <c r="J107" s="17" t="s">
        <v>354</v>
      </c>
      <c r="K107" s="1">
        <f t="shared" si="1"/>
        <v>1</v>
      </c>
      <c r="L107" s="1">
        <f t="shared" si="2"/>
        <v>3</v>
      </c>
      <c r="M107" s="1" t="str">
        <f t="shared" si="27"/>
        <v>#N/A</v>
      </c>
      <c r="N107" s="1" t="str">
        <f t="shared" si="4"/>
        <v>WIN</v>
      </c>
      <c r="O107" s="1">
        <f t="shared" si="5"/>
        <v>1</v>
      </c>
    </row>
    <row r="108" ht="15.75" customHeight="1">
      <c r="A108" s="1">
        <v>19.0</v>
      </c>
      <c r="B108" s="24" t="s">
        <v>1352</v>
      </c>
      <c r="C108" s="22">
        <v>0.6770833333333334</v>
      </c>
      <c r="D108" s="67" t="s">
        <v>19</v>
      </c>
      <c r="E108" s="13" t="s">
        <v>30</v>
      </c>
      <c r="F108" s="1" t="s">
        <v>300</v>
      </c>
      <c r="G108" s="24" t="s">
        <v>59</v>
      </c>
      <c r="H108" s="25">
        <v>13402.0</v>
      </c>
      <c r="I108" s="26">
        <v>6.944444444444445E-4</v>
      </c>
      <c r="J108" s="17" t="s">
        <v>268</v>
      </c>
      <c r="K108" s="1">
        <f t="shared" si="1"/>
        <v>0</v>
      </c>
      <c r="L108" s="1">
        <f t="shared" si="2"/>
        <v>1</v>
      </c>
      <c r="M108" s="1" t="str">
        <f t="shared" si="27"/>
        <v>#N/A</v>
      </c>
      <c r="N108" s="1" t="str">
        <f t="shared" si="4"/>
        <v>WIN</v>
      </c>
      <c r="O108" s="1">
        <f t="shared" si="5"/>
        <v>1</v>
      </c>
    </row>
    <row r="109" ht="15.75" customHeight="1">
      <c r="A109" s="1">
        <v>7.0</v>
      </c>
      <c r="B109" s="24" t="s">
        <v>1353</v>
      </c>
      <c r="C109" s="22">
        <v>0.6666666666666666</v>
      </c>
      <c r="D109" s="67" t="s">
        <v>19</v>
      </c>
      <c r="E109" s="13" t="s">
        <v>181</v>
      </c>
      <c r="F109" s="1" t="s">
        <v>222</v>
      </c>
      <c r="G109" s="24" t="s">
        <v>59</v>
      </c>
      <c r="H109" s="25">
        <v>15135.0</v>
      </c>
      <c r="I109" s="26">
        <v>0.001388888888888889</v>
      </c>
      <c r="J109" s="1" t="s">
        <v>437</v>
      </c>
      <c r="K109" s="1">
        <f t="shared" si="1"/>
        <v>0</v>
      </c>
      <c r="L109" s="1">
        <f t="shared" si="2"/>
        <v>2</v>
      </c>
      <c r="M109" s="1" t="str">
        <f t="shared" si="27"/>
        <v>#N/A</v>
      </c>
      <c r="N109" s="1" t="str">
        <f t="shared" si="4"/>
        <v>WIN</v>
      </c>
      <c r="O109" s="1">
        <f t="shared" si="5"/>
        <v>1</v>
      </c>
    </row>
    <row r="110" ht="15.75" customHeight="1">
      <c r="A110" s="1">
        <v>8.0</v>
      </c>
      <c r="B110" s="24" t="s">
        <v>1354</v>
      </c>
      <c r="C110" s="22">
        <v>0.875</v>
      </c>
      <c r="D110" s="67" t="s">
        <v>19</v>
      </c>
      <c r="E110" s="13" t="s">
        <v>30</v>
      </c>
      <c r="F110" s="1" t="s">
        <v>67</v>
      </c>
      <c r="G110" s="24" t="s">
        <v>59</v>
      </c>
      <c r="H110" s="25">
        <v>22322.0</v>
      </c>
      <c r="I110" s="26">
        <v>0.16805555555555557</v>
      </c>
      <c r="J110" s="17" t="s">
        <v>53</v>
      </c>
      <c r="K110" s="1">
        <f t="shared" si="1"/>
        <v>4</v>
      </c>
      <c r="L110" s="1">
        <f t="shared" si="2"/>
        <v>2</v>
      </c>
      <c r="M110" s="1" t="str">
        <f>+CONCAT(K110,L110)</f>
        <v>42</v>
      </c>
      <c r="N110" s="1" t="str">
        <f t="shared" si="4"/>
        <v>LOSS</v>
      </c>
      <c r="O110" s="1">
        <f t="shared" si="5"/>
        <v>-1</v>
      </c>
    </row>
    <row r="111" ht="15.75" customHeight="1">
      <c r="A111" s="1">
        <v>10.0</v>
      </c>
      <c r="B111" s="24" t="s">
        <v>1355</v>
      </c>
      <c r="C111" s="22">
        <v>0.8645833333333334</v>
      </c>
      <c r="D111" s="67" t="s">
        <v>19</v>
      </c>
      <c r="E111" s="13" t="s">
        <v>30</v>
      </c>
      <c r="F111" s="1" t="s">
        <v>356</v>
      </c>
      <c r="G111" s="45">
        <v>37350.0</v>
      </c>
      <c r="H111" s="25">
        <v>43570.0</v>
      </c>
      <c r="I111" s="26">
        <v>0.001388888888888889</v>
      </c>
      <c r="J111" s="1" t="s">
        <v>591</v>
      </c>
      <c r="K111" s="1">
        <f t="shared" si="1"/>
        <v>0</v>
      </c>
      <c r="L111" s="1">
        <f t="shared" si="2"/>
        <v>2</v>
      </c>
      <c r="M111" s="1" t="str">
        <f>+CONCAT(K111,"-",L111)</f>
        <v>#N/A</v>
      </c>
      <c r="N111" s="1" t="str">
        <f t="shared" si="4"/>
        <v>WIN</v>
      </c>
      <c r="O111" s="1">
        <f t="shared" si="5"/>
        <v>1</v>
      </c>
    </row>
    <row r="112" ht="15.75" customHeight="1">
      <c r="A112" s="1">
        <v>11.0</v>
      </c>
      <c r="B112" s="24" t="s">
        <v>1356</v>
      </c>
      <c r="C112" s="22">
        <v>0.6770833333333334</v>
      </c>
      <c r="D112" s="67" t="s">
        <v>24</v>
      </c>
      <c r="E112" s="13" t="s">
        <v>43</v>
      </c>
      <c r="F112" s="1" t="s">
        <v>73</v>
      </c>
      <c r="G112" s="24" t="s">
        <v>59</v>
      </c>
      <c r="H112" s="25">
        <v>50112.0</v>
      </c>
      <c r="I112" s="26">
        <v>0.043055555555555555</v>
      </c>
      <c r="J112" s="17" t="s">
        <v>175</v>
      </c>
      <c r="K112" s="1">
        <f t="shared" si="1"/>
        <v>1</v>
      </c>
      <c r="L112" s="1">
        <f t="shared" si="2"/>
        <v>2</v>
      </c>
      <c r="M112" s="1" t="str">
        <f>+CONCAT(K112,L112)</f>
        <v>12</v>
      </c>
      <c r="N112" s="1" t="str">
        <f t="shared" si="4"/>
        <v>LOSS</v>
      </c>
      <c r="O112" s="1">
        <f t="shared" si="5"/>
        <v>-1</v>
      </c>
    </row>
    <row r="113" ht="15.75" customHeight="1">
      <c r="A113" s="1">
        <v>32.0</v>
      </c>
      <c r="B113" s="24" t="s">
        <v>1357</v>
      </c>
      <c r="C113" s="22">
        <v>0.875</v>
      </c>
      <c r="D113" s="67" t="s">
        <v>24</v>
      </c>
      <c r="E113" s="13" t="s">
        <v>30</v>
      </c>
      <c r="F113" s="1" t="s">
        <v>111</v>
      </c>
      <c r="G113" s="24" t="s">
        <v>59</v>
      </c>
      <c r="H113" s="25">
        <v>88530.0</v>
      </c>
      <c r="I113" s="26">
        <v>0.16666666666666666</v>
      </c>
      <c r="J113" s="17" t="s">
        <v>268</v>
      </c>
      <c r="K113" s="1">
        <f t="shared" si="1"/>
        <v>4</v>
      </c>
      <c r="L113" s="1">
        <f t="shared" si="2"/>
        <v>0</v>
      </c>
      <c r="M113" s="1" t="str">
        <f t="shared" ref="M113:M114" si="28">+CONCAT(K113,"-",L113)</f>
        <v>#N/A</v>
      </c>
      <c r="N113" s="1" t="str">
        <f t="shared" si="4"/>
        <v>WIN</v>
      </c>
      <c r="O113" s="1">
        <f t="shared" si="5"/>
        <v>1</v>
      </c>
    </row>
    <row r="114" ht="15.75" customHeight="1">
      <c r="A114" s="1">
        <v>7.0</v>
      </c>
      <c r="B114" s="24" t="s">
        <v>1358</v>
      </c>
      <c r="C114" s="22">
        <v>0.6770833333333334</v>
      </c>
      <c r="D114" s="67" t="s">
        <v>24</v>
      </c>
      <c r="E114" s="13" t="s">
        <v>30</v>
      </c>
      <c r="F114" s="1" t="s">
        <v>510</v>
      </c>
      <c r="G114" s="24" t="s">
        <v>59</v>
      </c>
      <c r="H114" s="25">
        <v>78015.0</v>
      </c>
      <c r="I114" s="26">
        <v>0.04236111111111111</v>
      </c>
      <c r="J114" s="1" t="s">
        <v>500</v>
      </c>
      <c r="K114" s="1">
        <f t="shared" si="1"/>
        <v>1</v>
      </c>
      <c r="L114" s="1">
        <f t="shared" si="2"/>
        <v>1</v>
      </c>
      <c r="M114" s="1" t="str">
        <f t="shared" si="28"/>
        <v>#N/A</v>
      </c>
      <c r="N114" s="1" t="str">
        <f t="shared" si="4"/>
        <v>DRAW</v>
      </c>
      <c r="O114" s="1">
        <f t="shared" si="5"/>
        <v>0</v>
      </c>
    </row>
    <row r="115" ht="15.75" customHeight="1">
      <c r="A115" s="1">
        <v>12.0</v>
      </c>
      <c r="B115" s="24" t="s">
        <v>1359</v>
      </c>
      <c r="C115" s="22">
        <v>0.875</v>
      </c>
      <c r="D115" s="67" t="s">
        <v>19</v>
      </c>
      <c r="E115" s="13" t="s">
        <v>33</v>
      </c>
      <c r="F115" s="1" t="s">
        <v>44</v>
      </c>
      <c r="G115" s="24" t="s">
        <v>59</v>
      </c>
      <c r="H115" s="25">
        <v>46007.0</v>
      </c>
      <c r="I115" s="26">
        <v>6.944444444444445E-4</v>
      </c>
      <c r="J115" s="17" t="s">
        <v>268</v>
      </c>
      <c r="K115" s="1">
        <f t="shared" si="1"/>
        <v>0</v>
      </c>
      <c r="L115" s="1">
        <f t="shared" si="2"/>
        <v>1</v>
      </c>
      <c r="M115" s="1" t="str">
        <f>+CONCAT(K115,L115)</f>
        <v>01</v>
      </c>
      <c r="N115" s="1" t="str">
        <f t="shared" si="4"/>
        <v>WIN</v>
      </c>
      <c r="O115" s="1">
        <f t="shared" si="5"/>
        <v>1</v>
      </c>
    </row>
    <row r="116" ht="15.75" customHeight="1">
      <c r="A116" s="1">
        <v>29.0</v>
      </c>
      <c r="B116" s="24" t="s">
        <v>1360</v>
      </c>
      <c r="C116" s="22">
        <v>0.6770833333333334</v>
      </c>
      <c r="D116" s="67" t="s">
        <v>24</v>
      </c>
      <c r="E116" s="13" t="s">
        <v>30</v>
      </c>
      <c r="F116" s="1" t="s">
        <v>398</v>
      </c>
      <c r="G116" s="24" t="s">
        <v>59</v>
      </c>
      <c r="H116" s="25">
        <v>92795.0</v>
      </c>
      <c r="I116" s="26">
        <v>0.08333333333333333</v>
      </c>
      <c r="J116" s="1" t="s">
        <v>500</v>
      </c>
      <c r="K116" s="1">
        <f t="shared" si="1"/>
        <v>2</v>
      </c>
      <c r="L116" s="1">
        <f t="shared" si="2"/>
        <v>0</v>
      </c>
      <c r="M116" s="1" t="str">
        <f>+CONCAT(K116,"-",L116)</f>
        <v>#N/A</v>
      </c>
      <c r="N116" s="1" t="str">
        <f t="shared" si="4"/>
        <v>WIN</v>
      </c>
      <c r="O116" s="1">
        <f t="shared" si="5"/>
        <v>1</v>
      </c>
    </row>
    <row r="117" ht="15.75" customHeight="1">
      <c r="A117" s="1">
        <v>30.0</v>
      </c>
      <c r="B117" s="24" t="s">
        <v>1361</v>
      </c>
      <c r="C117" s="22">
        <v>0.875</v>
      </c>
      <c r="D117" s="67" t="s">
        <v>24</v>
      </c>
      <c r="E117" s="13" t="s">
        <v>33</v>
      </c>
      <c r="F117" s="1" t="s">
        <v>229</v>
      </c>
      <c r="G117" s="24" t="s">
        <v>59</v>
      </c>
      <c r="H117" s="25">
        <v>46788.0</v>
      </c>
      <c r="I117" s="26">
        <v>0.041666666666666664</v>
      </c>
      <c r="J117" s="17" t="s">
        <v>175</v>
      </c>
      <c r="K117" s="1">
        <f t="shared" si="1"/>
        <v>1</v>
      </c>
      <c r="L117" s="1">
        <f t="shared" si="2"/>
        <v>0</v>
      </c>
      <c r="M117" s="1" t="str">
        <f>+CONCAT(K117,L117)</f>
        <v>10</v>
      </c>
      <c r="N117" s="1" t="str">
        <f t="shared" si="4"/>
        <v>WIN</v>
      </c>
      <c r="O117" s="1">
        <f t="shared" si="5"/>
        <v>1</v>
      </c>
    </row>
    <row r="118" ht="15.75" customHeight="1">
      <c r="A118" s="1">
        <v>12.0</v>
      </c>
      <c r="B118" s="24" t="s">
        <v>1362</v>
      </c>
      <c r="C118" s="22">
        <v>0.875</v>
      </c>
      <c r="D118" s="67" t="s">
        <v>24</v>
      </c>
      <c r="E118" s="13" t="s">
        <v>375</v>
      </c>
      <c r="F118" s="1" t="s">
        <v>96</v>
      </c>
      <c r="G118" s="24" t="s">
        <v>59</v>
      </c>
      <c r="H118" s="25">
        <v>37278.0</v>
      </c>
      <c r="I118" s="26">
        <v>0.04236111111111111</v>
      </c>
      <c r="J118" s="17" t="s">
        <v>354</v>
      </c>
      <c r="K118" s="1">
        <f t="shared" si="1"/>
        <v>1</v>
      </c>
      <c r="L118" s="1">
        <f t="shared" si="2"/>
        <v>1</v>
      </c>
      <c r="M118" s="1" t="str">
        <f>+CONCAT(K118,"-",L118)</f>
        <v>#N/A</v>
      </c>
      <c r="N118" s="1" t="str">
        <f t="shared" si="4"/>
        <v>DRAW</v>
      </c>
      <c r="O118" s="1">
        <f t="shared" si="5"/>
        <v>0</v>
      </c>
    </row>
    <row r="119" ht="15.75" customHeight="1">
      <c r="A119" s="1">
        <v>15.0</v>
      </c>
      <c r="B119" s="24" t="s">
        <v>1363</v>
      </c>
      <c r="C119" s="22">
        <v>0.5833333333333334</v>
      </c>
      <c r="D119" s="67" t="s">
        <v>24</v>
      </c>
      <c r="E119" s="13" t="s">
        <v>30</v>
      </c>
      <c r="F119" s="1" t="s">
        <v>81</v>
      </c>
      <c r="G119" s="24" t="s">
        <v>21</v>
      </c>
      <c r="H119" s="25">
        <v>43921.0</v>
      </c>
      <c r="I119" s="26">
        <v>0.043055555555555555</v>
      </c>
      <c r="J119" s="17" t="s">
        <v>53</v>
      </c>
      <c r="K119" s="1">
        <f t="shared" si="1"/>
        <v>1</v>
      </c>
      <c r="L119" s="1">
        <f t="shared" si="2"/>
        <v>2</v>
      </c>
      <c r="M119" s="1" t="str">
        <f>+CONCAT(K119,L119)</f>
        <v>12</v>
      </c>
      <c r="N119" s="1" t="str">
        <f t="shared" si="4"/>
        <v>LOSS</v>
      </c>
      <c r="O119" s="1">
        <f t="shared" si="5"/>
        <v>-1</v>
      </c>
    </row>
    <row r="120" ht="15.75" customHeight="1">
      <c r="A120" s="1">
        <v>30.0</v>
      </c>
      <c r="B120" s="24" t="s">
        <v>1364</v>
      </c>
      <c r="C120" s="22">
        <v>0.8645833333333334</v>
      </c>
      <c r="D120" s="67" t="s">
        <v>19</v>
      </c>
      <c r="E120" s="13" t="s">
        <v>30</v>
      </c>
      <c r="F120" s="1" t="s">
        <v>638</v>
      </c>
      <c r="G120" s="24" t="s">
        <v>59</v>
      </c>
      <c r="H120" s="25">
        <v>37588.0</v>
      </c>
      <c r="I120" s="26">
        <v>0.08472222222222223</v>
      </c>
      <c r="J120" s="1" t="s">
        <v>591</v>
      </c>
      <c r="K120" s="1">
        <f t="shared" si="1"/>
        <v>2</v>
      </c>
      <c r="L120" s="1">
        <f t="shared" si="2"/>
        <v>2</v>
      </c>
      <c r="M120" s="1" t="str">
        <f t="shared" ref="M120:M121" si="29">+CONCAT(K120,"-",L120)</f>
        <v>#N/A</v>
      </c>
      <c r="N120" s="1" t="str">
        <f t="shared" si="4"/>
        <v>DRAW</v>
      </c>
      <c r="O120" s="1">
        <f t="shared" si="5"/>
        <v>0</v>
      </c>
    </row>
    <row r="121" ht="15.75" customHeight="1">
      <c r="A121" s="1">
        <v>3.0</v>
      </c>
      <c r="B121" s="24" t="s">
        <v>1365</v>
      </c>
      <c r="C121" s="22">
        <v>0.7083333333333334</v>
      </c>
      <c r="D121" s="67" t="s">
        <v>19</v>
      </c>
      <c r="E121" s="13" t="s">
        <v>375</v>
      </c>
      <c r="F121" s="1" t="s">
        <v>442</v>
      </c>
      <c r="G121" s="24" t="s">
        <v>59</v>
      </c>
      <c r="H121" s="25">
        <v>16742.0</v>
      </c>
      <c r="I121" s="26">
        <v>0.08472222222222223</v>
      </c>
      <c r="J121" s="1" t="s">
        <v>437</v>
      </c>
      <c r="K121" s="1">
        <f t="shared" si="1"/>
        <v>2</v>
      </c>
      <c r="L121" s="1">
        <f t="shared" si="2"/>
        <v>2</v>
      </c>
      <c r="M121" s="1" t="str">
        <f t="shared" si="29"/>
        <v>#N/A</v>
      </c>
      <c r="N121" s="1" t="str">
        <f t="shared" si="4"/>
        <v>DRAW</v>
      </c>
      <c r="O121" s="1">
        <f t="shared" si="5"/>
        <v>0</v>
      </c>
    </row>
    <row r="122" ht="15.75" customHeight="1">
      <c r="A122" s="1">
        <v>4.0</v>
      </c>
      <c r="B122" s="24" t="s">
        <v>1366</v>
      </c>
      <c r="C122" s="22">
        <v>0.7083333333333334</v>
      </c>
      <c r="D122" s="67" t="s">
        <v>24</v>
      </c>
      <c r="E122" s="13" t="s">
        <v>30</v>
      </c>
      <c r="F122" s="1" t="s">
        <v>58</v>
      </c>
      <c r="G122" s="24" t="s">
        <v>59</v>
      </c>
      <c r="H122" s="25">
        <v>44359.0</v>
      </c>
      <c r="I122" s="26">
        <v>0.2916666666666667</v>
      </c>
      <c r="J122" s="17" t="s">
        <v>53</v>
      </c>
      <c r="K122" s="1">
        <f t="shared" si="1"/>
        <v>7</v>
      </c>
      <c r="L122" s="1">
        <f t="shared" si="2"/>
        <v>0</v>
      </c>
      <c r="M122" s="1" t="str">
        <f t="shared" ref="M122:M123" si="30">+CONCAT(K122,L122)</f>
        <v>70</v>
      </c>
      <c r="N122" s="1" t="str">
        <f t="shared" si="4"/>
        <v>WIN</v>
      </c>
      <c r="O122" s="1">
        <f t="shared" si="5"/>
        <v>1</v>
      </c>
    </row>
    <row r="123" ht="15.75" customHeight="1">
      <c r="A123" s="1">
        <v>15.0</v>
      </c>
      <c r="B123" s="24" t="s">
        <v>1367</v>
      </c>
      <c r="C123" s="22">
        <v>0.5833333333333334</v>
      </c>
      <c r="D123" s="67" t="s">
        <v>24</v>
      </c>
      <c r="E123" s="13" t="s">
        <v>30</v>
      </c>
      <c r="F123" s="1" t="s">
        <v>75</v>
      </c>
      <c r="G123" s="24" t="s">
        <v>59</v>
      </c>
      <c r="H123" s="25">
        <v>88095.0</v>
      </c>
      <c r="I123" s="26">
        <v>0.04236111111111111</v>
      </c>
      <c r="J123" s="17" t="s">
        <v>268</v>
      </c>
      <c r="K123" s="1">
        <f t="shared" si="1"/>
        <v>1</v>
      </c>
      <c r="L123" s="1">
        <f t="shared" si="2"/>
        <v>1</v>
      </c>
      <c r="M123" s="1" t="str">
        <f t="shared" si="30"/>
        <v>11</v>
      </c>
      <c r="N123" s="1" t="str">
        <f t="shared" si="4"/>
        <v>DRAW</v>
      </c>
      <c r="O123" s="1">
        <f t="shared" si="5"/>
        <v>0</v>
      </c>
    </row>
    <row r="124" ht="15.75" customHeight="1">
      <c r="A124" s="1">
        <v>26.0</v>
      </c>
      <c r="B124" s="24" t="s">
        <v>1368</v>
      </c>
      <c r="C124" s="22">
        <v>0.875</v>
      </c>
      <c r="D124" s="67" t="s">
        <v>19</v>
      </c>
      <c r="E124" s="13" t="s">
        <v>30</v>
      </c>
      <c r="F124" s="1" t="s">
        <v>73</v>
      </c>
      <c r="G124" s="24" t="s">
        <v>483</v>
      </c>
      <c r="H124" s="25">
        <v>78237.0</v>
      </c>
      <c r="I124" s="26">
        <v>0.08333333333333333</v>
      </c>
      <c r="J124" s="1" t="s">
        <v>437</v>
      </c>
      <c r="K124" s="1">
        <f t="shared" si="1"/>
        <v>2</v>
      </c>
      <c r="L124" s="1">
        <f t="shared" si="2"/>
        <v>0</v>
      </c>
      <c r="M124" s="1" t="str">
        <f t="shared" ref="M124:M129" si="31">+CONCAT(K124,"-",L124)</f>
        <v>#N/A</v>
      </c>
      <c r="N124" s="1" t="str">
        <f t="shared" si="4"/>
        <v>LOSS</v>
      </c>
      <c r="O124" s="1">
        <f t="shared" si="5"/>
        <v>-1</v>
      </c>
    </row>
    <row r="125" ht="15.75" customHeight="1">
      <c r="A125" s="1">
        <v>34.0</v>
      </c>
      <c r="B125" s="24" t="s">
        <v>1369</v>
      </c>
      <c r="C125" s="22">
        <v>0.875</v>
      </c>
      <c r="D125" s="67" t="s">
        <v>24</v>
      </c>
      <c r="E125" s="13" t="s">
        <v>33</v>
      </c>
      <c r="F125" s="1" t="s">
        <v>189</v>
      </c>
      <c r="G125" s="24" t="s">
        <v>59</v>
      </c>
      <c r="H125" s="25">
        <v>62789.0</v>
      </c>
      <c r="I125" s="26">
        <v>0.08402777777777778</v>
      </c>
      <c r="J125" s="17" t="s">
        <v>354</v>
      </c>
      <c r="K125" s="1">
        <f t="shared" si="1"/>
        <v>2</v>
      </c>
      <c r="L125" s="1">
        <f t="shared" si="2"/>
        <v>1</v>
      </c>
      <c r="M125" s="1" t="str">
        <f t="shared" si="31"/>
        <v>#N/A</v>
      </c>
      <c r="N125" s="1" t="str">
        <f t="shared" si="4"/>
        <v>WIN</v>
      </c>
      <c r="O125" s="1">
        <f t="shared" si="5"/>
        <v>1</v>
      </c>
    </row>
    <row r="126" ht="15.75" customHeight="1">
      <c r="A126" s="1">
        <v>7.0</v>
      </c>
      <c r="B126" s="24" t="s">
        <v>1370</v>
      </c>
      <c r="C126" s="22">
        <v>0.6770833333333334</v>
      </c>
      <c r="D126" s="67" t="s">
        <v>24</v>
      </c>
      <c r="E126" s="13" t="s">
        <v>30</v>
      </c>
      <c r="F126" s="1" t="s">
        <v>601</v>
      </c>
      <c r="G126" s="45">
        <v>37350.0</v>
      </c>
      <c r="H126" s="24" t="s">
        <v>1371</v>
      </c>
      <c r="I126" s="26">
        <v>0.125</v>
      </c>
      <c r="J126" s="1" t="s">
        <v>591</v>
      </c>
      <c r="K126" s="1">
        <f t="shared" si="1"/>
        <v>3</v>
      </c>
      <c r="L126" s="1">
        <f t="shared" si="2"/>
        <v>0</v>
      </c>
      <c r="M126" s="1" t="str">
        <f t="shared" si="31"/>
        <v>#N/A</v>
      </c>
      <c r="N126" s="1" t="str">
        <f t="shared" si="4"/>
        <v>WIN</v>
      </c>
      <c r="O126" s="1">
        <f t="shared" si="5"/>
        <v>1</v>
      </c>
    </row>
    <row r="127" ht="15.75" customHeight="1">
      <c r="A127" s="1">
        <v>15.0</v>
      </c>
      <c r="B127" s="24" t="s">
        <v>1372</v>
      </c>
      <c r="C127" s="22">
        <v>0.875</v>
      </c>
      <c r="D127" s="67" t="s">
        <v>19</v>
      </c>
      <c r="E127" s="13" t="s">
        <v>30</v>
      </c>
      <c r="F127" s="1" t="s">
        <v>227</v>
      </c>
      <c r="G127" s="24" t="s">
        <v>59</v>
      </c>
      <c r="H127" s="25">
        <v>64226.0</v>
      </c>
      <c r="I127" s="26">
        <v>6.944444444444445E-4</v>
      </c>
      <c r="J127" s="1" t="s">
        <v>437</v>
      </c>
      <c r="K127" s="1">
        <f t="shared" si="1"/>
        <v>0</v>
      </c>
      <c r="L127" s="1">
        <f t="shared" si="2"/>
        <v>1</v>
      </c>
      <c r="M127" s="1" t="str">
        <f t="shared" si="31"/>
        <v>#N/A</v>
      </c>
      <c r="N127" s="1" t="str">
        <f t="shared" si="4"/>
        <v>WIN</v>
      </c>
      <c r="O127" s="1">
        <f t="shared" si="5"/>
        <v>1</v>
      </c>
    </row>
    <row r="128" ht="15.75" customHeight="1">
      <c r="A128" s="1">
        <v>19.0</v>
      </c>
      <c r="B128" s="24" t="s">
        <v>1373</v>
      </c>
      <c r="C128" s="22">
        <v>0.875</v>
      </c>
      <c r="D128" s="67" t="s">
        <v>19</v>
      </c>
      <c r="E128" s="13" t="s">
        <v>381</v>
      </c>
      <c r="F128" s="1" t="s">
        <v>225</v>
      </c>
      <c r="G128" s="24" t="s">
        <v>59</v>
      </c>
      <c r="H128" s="25">
        <v>14654.0</v>
      </c>
      <c r="I128" s="26">
        <v>6.944444444444445E-4</v>
      </c>
      <c r="J128" s="17" t="s">
        <v>354</v>
      </c>
      <c r="K128" s="1">
        <f t="shared" si="1"/>
        <v>0</v>
      </c>
      <c r="L128" s="1">
        <f t="shared" si="2"/>
        <v>1</v>
      </c>
      <c r="M128" s="1" t="str">
        <f t="shared" si="31"/>
        <v>#N/A</v>
      </c>
      <c r="N128" s="1" t="str">
        <f t="shared" si="4"/>
        <v>WIN</v>
      </c>
      <c r="O128" s="1">
        <f t="shared" si="5"/>
        <v>1</v>
      </c>
    </row>
    <row r="129" ht="15.75" customHeight="1">
      <c r="A129" s="1">
        <v>22.0</v>
      </c>
      <c r="B129" s="24" t="s">
        <v>1374</v>
      </c>
      <c r="C129" s="22">
        <v>0.875</v>
      </c>
      <c r="D129" s="67" t="s">
        <v>24</v>
      </c>
      <c r="E129" s="13" t="s">
        <v>33</v>
      </c>
      <c r="F129" s="1" t="s">
        <v>474</v>
      </c>
      <c r="G129" s="24" t="s">
        <v>59</v>
      </c>
      <c r="H129" s="25">
        <v>60295.0</v>
      </c>
      <c r="I129" s="26">
        <v>0.08402777777777778</v>
      </c>
      <c r="J129" s="1" t="s">
        <v>437</v>
      </c>
      <c r="K129" s="1">
        <f t="shared" si="1"/>
        <v>2</v>
      </c>
      <c r="L129" s="1">
        <f t="shared" si="2"/>
        <v>1</v>
      </c>
      <c r="M129" s="1" t="str">
        <f t="shared" si="31"/>
        <v>#N/A</v>
      </c>
      <c r="N129" s="1" t="str">
        <f t="shared" si="4"/>
        <v>WIN</v>
      </c>
      <c r="O129" s="1">
        <f t="shared" si="5"/>
        <v>1</v>
      </c>
    </row>
    <row r="130" ht="15.75" customHeight="1">
      <c r="A130" s="1">
        <v>22.0</v>
      </c>
      <c r="B130" s="24" t="s">
        <v>1375</v>
      </c>
      <c r="C130" s="22">
        <v>0.5833333333333334</v>
      </c>
      <c r="D130" s="67" t="s">
        <v>24</v>
      </c>
      <c r="E130" s="13" t="s">
        <v>87</v>
      </c>
      <c r="F130" s="1" t="s">
        <v>96</v>
      </c>
      <c r="G130" s="24" t="s">
        <v>59</v>
      </c>
      <c r="H130" s="25">
        <v>42900.0</v>
      </c>
      <c r="I130" s="26">
        <v>0.041666666666666664</v>
      </c>
      <c r="J130" s="17" t="s">
        <v>53</v>
      </c>
      <c r="K130" s="1">
        <f t="shared" si="1"/>
        <v>1</v>
      </c>
      <c r="L130" s="1">
        <f t="shared" si="2"/>
        <v>0</v>
      </c>
      <c r="M130" s="1" t="str">
        <f t="shared" ref="M130:M131" si="32">+CONCAT(K130,L130)</f>
        <v>10</v>
      </c>
      <c r="N130" s="1" t="str">
        <f t="shared" si="4"/>
        <v>WIN</v>
      </c>
      <c r="O130" s="1">
        <f t="shared" si="5"/>
        <v>1</v>
      </c>
    </row>
    <row r="131" ht="15.75" customHeight="1">
      <c r="A131" s="1">
        <v>26.0</v>
      </c>
      <c r="B131" s="24" t="s">
        <v>1376</v>
      </c>
      <c r="C131" s="22">
        <v>0.6770833333333334</v>
      </c>
      <c r="D131" s="67" t="s">
        <v>24</v>
      </c>
      <c r="E131" s="13" t="s">
        <v>30</v>
      </c>
      <c r="F131" s="1" t="s">
        <v>103</v>
      </c>
      <c r="G131" s="24" t="s">
        <v>21</v>
      </c>
      <c r="H131" s="25">
        <v>46324.0</v>
      </c>
      <c r="I131" s="26">
        <v>0.16666666666666666</v>
      </c>
      <c r="J131" s="17" t="s">
        <v>53</v>
      </c>
      <c r="K131" s="1">
        <f t="shared" si="1"/>
        <v>4</v>
      </c>
      <c r="L131" s="1">
        <f t="shared" si="2"/>
        <v>0</v>
      </c>
      <c r="M131" s="1" t="str">
        <f t="shared" si="32"/>
        <v>40</v>
      </c>
      <c r="N131" s="1" t="str">
        <f t="shared" si="4"/>
        <v>WIN</v>
      </c>
      <c r="O131" s="1">
        <f t="shared" si="5"/>
        <v>1</v>
      </c>
    </row>
    <row r="132" ht="15.75" customHeight="1">
      <c r="A132" s="1">
        <v>3.0</v>
      </c>
      <c r="B132" s="24" t="s">
        <v>1377</v>
      </c>
      <c r="C132" s="22">
        <v>0.7708333333333334</v>
      </c>
      <c r="D132" s="67" t="s">
        <v>24</v>
      </c>
      <c r="E132" s="13" t="s">
        <v>33</v>
      </c>
      <c r="F132" s="1" t="s">
        <v>504</v>
      </c>
      <c r="G132" s="24" t="s">
        <v>59</v>
      </c>
      <c r="H132" s="25">
        <v>71892.0</v>
      </c>
      <c r="I132" s="26">
        <v>0.3347222222222222</v>
      </c>
      <c r="J132" s="1" t="s">
        <v>500</v>
      </c>
      <c r="K132" s="1">
        <f t="shared" si="1"/>
        <v>8</v>
      </c>
      <c r="L132" s="1">
        <f t="shared" si="2"/>
        <v>2</v>
      </c>
      <c r="M132" s="1" t="str">
        <f>+CONCAT(K132,"-",L132)</f>
        <v>#N/A</v>
      </c>
      <c r="N132" s="1" t="str">
        <f t="shared" si="4"/>
        <v>WIN</v>
      </c>
      <c r="O132" s="1">
        <f t="shared" si="5"/>
        <v>1</v>
      </c>
    </row>
    <row r="133" ht="15.75" customHeight="1">
      <c r="A133" s="6">
        <v>11.0</v>
      </c>
      <c r="B133" s="14" t="s">
        <v>1378</v>
      </c>
      <c r="C133" s="11">
        <v>0.7708333333333334</v>
      </c>
      <c r="D133" s="66" t="s">
        <v>24</v>
      </c>
      <c r="E133" s="20" t="s">
        <v>33</v>
      </c>
      <c r="F133" s="6" t="s">
        <v>37</v>
      </c>
      <c r="G133" s="14" t="s">
        <v>21</v>
      </c>
      <c r="H133" s="15">
        <v>44370.0</v>
      </c>
      <c r="I133" s="16">
        <v>0.12569444444444444</v>
      </c>
      <c r="J133" s="17" t="s">
        <v>22</v>
      </c>
      <c r="K133" s="1">
        <f t="shared" si="1"/>
        <v>3</v>
      </c>
      <c r="L133" s="1">
        <f t="shared" si="2"/>
        <v>1</v>
      </c>
      <c r="M133" s="1" t="str">
        <f>+CONCAT(K133,L133)</f>
        <v>31</v>
      </c>
      <c r="N133" s="1" t="str">
        <f t="shared" si="4"/>
        <v>WIN</v>
      </c>
      <c r="O133" s="1">
        <f t="shared" si="5"/>
        <v>1</v>
      </c>
    </row>
    <row r="134" ht="15.75" customHeight="1">
      <c r="A134" s="1">
        <v>14.0</v>
      </c>
      <c r="B134" s="24" t="s">
        <v>1379</v>
      </c>
      <c r="C134" s="22">
        <v>0.7708333333333334</v>
      </c>
      <c r="D134" s="67" t="s">
        <v>24</v>
      </c>
      <c r="E134" s="13" t="s">
        <v>33</v>
      </c>
      <c r="F134" s="1" t="s">
        <v>522</v>
      </c>
      <c r="G134" s="24" t="s">
        <v>59</v>
      </c>
      <c r="H134" s="25">
        <v>73003.0</v>
      </c>
      <c r="I134" s="26">
        <v>0.08333333333333333</v>
      </c>
      <c r="J134" s="1" t="s">
        <v>500</v>
      </c>
      <c r="K134" s="1">
        <f t="shared" si="1"/>
        <v>2</v>
      </c>
      <c r="L134" s="1">
        <f t="shared" si="2"/>
        <v>0</v>
      </c>
      <c r="M134" s="1" t="str">
        <f>+CONCAT(K134,"-",L134)</f>
        <v>#N/A</v>
      </c>
      <c r="N134" s="1" t="str">
        <f t="shared" si="4"/>
        <v>WIN</v>
      </c>
      <c r="O134" s="1">
        <f t="shared" si="5"/>
        <v>1</v>
      </c>
    </row>
    <row r="135" ht="15.75" customHeight="1">
      <c r="A135" s="1">
        <v>27.0</v>
      </c>
      <c r="B135" s="24" t="s">
        <v>1380</v>
      </c>
      <c r="C135" s="22">
        <v>0.875</v>
      </c>
      <c r="D135" s="67" t="s">
        <v>19</v>
      </c>
      <c r="E135" s="13" t="s">
        <v>87</v>
      </c>
      <c r="F135" s="1" t="s">
        <v>195</v>
      </c>
      <c r="G135" s="24" t="s">
        <v>59</v>
      </c>
      <c r="H135" s="25">
        <v>50295.0</v>
      </c>
      <c r="I135" s="26">
        <v>0.0</v>
      </c>
      <c r="J135" s="17" t="s">
        <v>175</v>
      </c>
      <c r="K135" s="1">
        <f t="shared" si="1"/>
        <v>0</v>
      </c>
      <c r="L135" s="1">
        <f t="shared" si="2"/>
        <v>0</v>
      </c>
      <c r="M135" s="1" t="str">
        <f>+CONCAT(K135,L135)</f>
        <v>00</v>
      </c>
      <c r="N135" s="1" t="str">
        <f t="shared" si="4"/>
        <v>DRAW</v>
      </c>
      <c r="O135" s="1">
        <f t="shared" si="5"/>
        <v>0</v>
      </c>
    </row>
    <row r="136" ht="15.75" customHeight="1">
      <c r="A136" s="1">
        <v>30.0</v>
      </c>
      <c r="B136" s="24" t="s">
        <v>1381</v>
      </c>
      <c r="C136" s="22">
        <v>0.875</v>
      </c>
      <c r="D136" s="67" t="s">
        <v>24</v>
      </c>
      <c r="E136" s="13" t="s">
        <v>87</v>
      </c>
      <c r="F136" s="1" t="s">
        <v>359</v>
      </c>
      <c r="G136" s="24" t="s">
        <v>59</v>
      </c>
      <c r="H136" s="25">
        <v>76112.0</v>
      </c>
      <c r="I136" s="26">
        <v>0.041666666666666664</v>
      </c>
      <c r="J136" s="17" t="s">
        <v>354</v>
      </c>
      <c r="K136" s="1">
        <f t="shared" si="1"/>
        <v>1</v>
      </c>
      <c r="L136" s="1">
        <f t="shared" si="2"/>
        <v>0</v>
      </c>
      <c r="M136" s="1" t="str">
        <f>+CONCAT(K136,"-",L136)</f>
        <v>#N/A</v>
      </c>
      <c r="N136" s="1" t="str">
        <f t="shared" si="4"/>
        <v>WIN</v>
      </c>
      <c r="O136" s="1">
        <f t="shared" si="5"/>
        <v>1</v>
      </c>
    </row>
    <row r="137" ht="15.75" customHeight="1">
      <c r="A137" s="1">
        <v>4.0</v>
      </c>
      <c r="B137" s="24" t="s">
        <v>1382</v>
      </c>
      <c r="C137" s="22">
        <v>0.875</v>
      </c>
      <c r="D137" s="67" t="s">
        <v>19</v>
      </c>
      <c r="E137" s="13" t="s">
        <v>43</v>
      </c>
      <c r="F137" s="1" t="s">
        <v>67</v>
      </c>
      <c r="G137" s="24" t="s">
        <v>59</v>
      </c>
      <c r="H137" s="25">
        <v>21966.0</v>
      </c>
      <c r="I137" s="26">
        <v>0.043055555555555555</v>
      </c>
      <c r="J137" s="17" t="s">
        <v>175</v>
      </c>
      <c r="K137" s="1">
        <f t="shared" si="1"/>
        <v>1</v>
      </c>
      <c r="L137" s="1">
        <f t="shared" si="2"/>
        <v>2</v>
      </c>
      <c r="M137" s="1" t="str">
        <f t="shared" ref="M137:M139" si="33">+CONCAT(K137,L137)</f>
        <v>12</v>
      </c>
      <c r="N137" s="1" t="str">
        <f t="shared" si="4"/>
        <v>WIN</v>
      </c>
      <c r="O137" s="1">
        <f t="shared" si="5"/>
        <v>1</v>
      </c>
    </row>
    <row r="138" ht="15.75" customHeight="1">
      <c r="A138" s="1">
        <v>12.0</v>
      </c>
      <c r="B138" s="24" t="s">
        <v>1383</v>
      </c>
      <c r="C138" s="22">
        <v>0.6770833333333334</v>
      </c>
      <c r="D138" s="67" t="s">
        <v>24</v>
      </c>
      <c r="E138" s="13" t="s">
        <v>30</v>
      </c>
      <c r="F138" s="1" t="s">
        <v>75</v>
      </c>
      <c r="G138" s="24" t="s">
        <v>21</v>
      </c>
      <c r="H138" s="25">
        <v>48843.0</v>
      </c>
      <c r="I138" s="26">
        <v>0.12569444444444444</v>
      </c>
      <c r="J138" s="17" t="s">
        <v>53</v>
      </c>
      <c r="K138" s="1">
        <f t="shared" si="1"/>
        <v>3</v>
      </c>
      <c r="L138" s="1">
        <f t="shared" si="2"/>
        <v>1</v>
      </c>
      <c r="M138" s="1" t="str">
        <f t="shared" si="33"/>
        <v>31</v>
      </c>
      <c r="N138" s="1" t="str">
        <f t="shared" si="4"/>
        <v>WIN</v>
      </c>
      <c r="O138" s="1">
        <f t="shared" si="5"/>
        <v>1</v>
      </c>
    </row>
    <row r="139" ht="15.75" customHeight="1">
      <c r="A139" s="1">
        <v>15.0</v>
      </c>
      <c r="B139" s="24" t="s">
        <v>1384</v>
      </c>
      <c r="C139" s="22">
        <v>0.875</v>
      </c>
      <c r="D139" s="67" t="s">
        <v>24</v>
      </c>
      <c r="E139" s="13" t="s">
        <v>43</v>
      </c>
      <c r="F139" s="1" t="s">
        <v>107</v>
      </c>
      <c r="G139" s="24" t="s">
        <v>59</v>
      </c>
      <c r="H139" s="25">
        <v>34568.0</v>
      </c>
      <c r="I139" s="26">
        <v>0.041666666666666664</v>
      </c>
      <c r="J139" s="17" t="s">
        <v>175</v>
      </c>
      <c r="K139" s="1">
        <f t="shared" si="1"/>
        <v>1</v>
      </c>
      <c r="L139" s="1">
        <f t="shared" si="2"/>
        <v>0</v>
      </c>
      <c r="M139" s="1" t="str">
        <f t="shared" si="33"/>
        <v>10</v>
      </c>
      <c r="N139" s="1" t="str">
        <f t="shared" si="4"/>
        <v>WIN</v>
      </c>
      <c r="O139" s="1">
        <f t="shared" si="5"/>
        <v>1</v>
      </c>
    </row>
    <row r="140" ht="15.75" customHeight="1">
      <c r="A140" s="1">
        <v>22.0</v>
      </c>
      <c r="B140" s="24" t="s">
        <v>1385</v>
      </c>
      <c r="C140" s="22">
        <v>0.6770833333333334</v>
      </c>
      <c r="D140" s="67" t="s">
        <v>19</v>
      </c>
      <c r="E140" s="13" t="s">
        <v>30</v>
      </c>
      <c r="F140" s="1" t="s">
        <v>122</v>
      </c>
      <c r="G140" s="24" t="s">
        <v>483</v>
      </c>
      <c r="H140" s="25">
        <v>23287.0</v>
      </c>
      <c r="I140" s="26">
        <v>0.04236111111111111</v>
      </c>
      <c r="J140" s="1" t="s">
        <v>591</v>
      </c>
      <c r="K140" s="1">
        <f t="shared" si="1"/>
        <v>1</v>
      </c>
      <c r="L140" s="1">
        <f t="shared" si="2"/>
        <v>1</v>
      </c>
      <c r="M140" s="1" t="str">
        <f t="shared" ref="M140:M144" si="34">+CONCAT(K140,"-",L140)</f>
        <v>#N/A</v>
      </c>
      <c r="N140" s="1" t="str">
        <f t="shared" si="4"/>
        <v>DRAW</v>
      </c>
      <c r="O140" s="1">
        <f t="shared" si="5"/>
        <v>0</v>
      </c>
    </row>
    <row r="141" ht="15.75" customHeight="1">
      <c r="A141" s="1">
        <v>27.0</v>
      </c>
      <c r="B141" s="24" t="s">
        <v>1386</v>
      </c>
      <c r="C141" s="22">
        <v>0.6770833333333334</v>
      </c>
      <c r="D141" s="67" t="s">
        <v>24</v>
      </c>
      <c r="E141" s="13" t="s">
        <v>30</v>
      </c>
      <c r="F141" s="1" t="s">
        <v>88</v>
      </c>
      <c r="G141" s="24" t="s">
        <v>483</v>
      </c>
      <c r="H141" s="25">
        <v>90356.0</v>
      </c>
      <c r="I141" s="26">
        <v>0.041666666666666664</v>
      </c>
      <c r="J141" s="1" t="s">
        <v>591</v>
      </c>
      <c r="K141" s="1">
        <f t="shared" si="1"/>
        <v>1</v>
      </c>
      <c r="L141" s="1">
        <f t="shared" si="2"/>
        <v>0</v>
      </c>
      <c r="M141" s="1" t="str">
        <f t="shared" si="34"/>
        <v>#N/A</v>
      </c>
      <c r="N141" s="1" t="str">
        <f t="shared" si="4"/>
        <v>WIN</v>
      </c>
      <c r="O141" s="1">
        <f t="shared" si="5"/>
        <v>1</v>
      </c>
    </row>
    <row r="142" ht="15.75" customHeight="1">
      <c r="A142" s="1">
        <v>38.0</v>
      </c>
      <c r="B142" s="24" t="s">
        <v>1387</v>
      </c>
      <c r="C142" s="22">
        <v>0.875</v>
      </c>
      <c r="D142" s="67" t="s">
        <v>19</v>
      </c>
      <c r="E142" s="13" t="s">
        <v>30</v>
      </c>
      <c r="F142" s="1" t="s">
        <v>187</v>
      </c>
      <c r="G142" s="24" t="s">
        <v>59</v>
      </c>
      <c r="H142" s="25">
        <v>23365.0</v>
      </c>
      <c r="I142" s="26">
        <v>0.08402777777777778</v>
      </c>
      <c r="J142" s="17" t="s">
        <v>268</v>
      </c>
      <c r="K142" s="1">
        <f t="shared" si="1"/>
        <v>2</v>
      </c>
      <c r="L142" s="1">
        <f t="shared" si="2"/>
        <v>1</v>
      </c>
      <c r="M142" s="1" t="str">
        <f t="shared" si="34"/>
        <v>#N/A</v>
      </c>
      <c r="N142" s="1" t="str">
        <f t="shared" si="4"/>
        <v>LOSS</v>
      </c>
      <c r="O142" s="1">
        <f t="shared" si="5"/>
        <v>-1</v>
      </c>
    </row>
    <row r="143" ht="15.75" customHeight="1">
      <c r="A143" s="1">
        <v>20.0</v>
      </c>
      <c r="B143" s="24" t="s">
        <v>1388</v>
      </c>
      <c r="C143" s="22">
        <v>0.875</v>
      </c>
      <c r="D143" s="67" t="s">
        <v>24</v>
      </c>
      <c r="E143" s="13" t="s">
        <v>30</v>
      </c>
      <c r="F143" s="1" t="s">
        <v>244</v>
      </c>
      <c r="G143" s="24" t="s">
        <v>59</v>
      </c>
      <c r="H143" s="25">
        <v>77987.0</v>
      </c>
      <c r="I143" s="26">
        <v>0.125</v>
      </c>
      <c r="J143" s="17" t="s">
        <v>268</v>
      </c>
      <c r="K143" s="1">
        <f t="shared" si="1"/>
        <v>3</v>
      </c>
      <c r="L143" s="1">
        <f t="shared" si="2"/>
        <v>0</v>
      </c>
      <c r="M143" s="1" t="str">
        <f t="shared" si="34"/>
        <v>#N/A</v>
      </c>
      <c r="N143" s="1" t="str">
        <f t="shared" si="4"/>
        <v>WIN</v>
      </c>
      <c r="O143" s="1">
        <f t="shared" si="5"/>
        <v>1</v>
      </c>
    </row>
    <row r="144" ht="15.75" customHeight="1">
      <c r="A144" s="1">
        <v>24.0</v>
      </c>
      <c r="B144" s="24" t="s">
        <v>1389</v>
      </c>
      <c r="C144" s="22">
        <v>0.6770833333333334</v>
      </c>
      <c r="D144" s="67" t="s">
        <v>24</v>
      </c>
      <c r="E144" s="13" t="s">
        <v>30</v>
      </c>
      <c r="F144" s="1" t="s">
        <v>309</v>
      </c>
      <c r="G144" s="24" t="s">
        <v>59</v>
      </c>
      <c r="H144" s="25">
        <v>89644.0</v>
      </c>
      <c r="I144" s="26">
        <v>0.041666666666666664</v>
      </c>
      <c r="J144" s="17" t="s">
        <v>268</v>
      </c>
      <c r="K144" s="1">
        <f t="shared" si="1"/>
        <v>1</v>
      </c>
      <c r="L144" s="1">
        <f t="shared" si="2"/>
        <v>0</v>
      </c>
      <c r="M144" s="1" t="str">
        <f t="shared" si="34"/>
        <v>#N/A</v>
      </c>
      <c r="N144" s="1" t="str">
        <f t="shared" si="4"/>
        <v>WIN</v>
      </c>
      <c r="O144" s="1">
        <f t="shared" si="5"/>
        <v>1</v>
      </c>
    </row>
    <row r="145" ht="15.75" customHeight="1">
      <c r="A145" s="6">
        <v>8.0</v>
      </c>
      <c r="B145" s="14" t="s">
        <v>1390</v>
      </c>
      <c r="C145" s="11">
        <v>0.6770833333333334</v>
      </c>
      <c r="D145" s="66" t="s">
        <v>19</v>
      </c>
      <c r="E145" s="20" t="s">
        <v>30</v>
      </c>
      <c r="F145" s="6" t="s">
        <v>31</v>
      </c>
      <c r="G145" s="14" t="s">
        <v>21</v>
      </c>
      <c r="H145" s="15">
        <v>41040.0</v>
      </c>
      <c r="I145" s="16">
        <v>0.1673611111111111</v>
      </c>
      <c r="J145" s="17" t="s">
        <v>22</v>
      </c>
      <c r="K145" s="1">
        <f t="shared" si="1"/>
        <v>4</v>
      </c>
      <c r="L145" s="1">
        <f t="shared" si="2"/>
        <v>1</v>
      </c>
      <c r="M145" s="1" t="str">
        <f>+CONCAT(K145,L145)</f>
        <v>41</v>
      </c>
      <c r="N145" s="1" t="str">
        <f t="shared" si="4"/>
        <v>LOSS</v>
      </c>
      <c r="O145" s="1">
        <f t="shared" si="5"/>
        <v>-1</v>
      </c>
    </row>
    <row r="146" ht="15.75" customHeight="1">
      <c r="A146" s="1">
        <v>18.0</v>
      </c>
      <c r="B146" s="24" t="s">
        <v>1391</v>
      </c>
      <c r="C146" s="22">
        <v>0.8645833333333334</v>
      </c>
      <c r="D146" s="67" t="s">
        <v>19</v>
      </c>
      <c r="E146" s="13" t="s">
        <v>30</v>
      </c>
      <c r="F146" s="1" t="s">
        <v>530</v>
      </c>
      <c r="G146" s="24" t="s">
        <v>59</v>
      </c>
      <c r="H146" s="25">
        <v>14721.0</v>
      </c>
      <c r="I146" s="26">
        <v>0.043055555555555555</v>
      </c>
      <c r="J146" s="1" t="s">
        <v>500</v>
      </c>
      <c r="K146" s="1">
        <f t="shared" si="1"/>
        <v>1</v>
      </c>
      <c r="L146" s="1">
        <f t="shared" si="2"/>
        <v>2</v>
      </c>
      <c r="M146" s="1" t="str">
        <f t="shared" ref="M146:M150" si="35">+CONCAT(K146,"-",L146)</f>
        <v>#N/A</v>
      </c>
      <c r="N146" s="1" t="str">
        <f t="shared" si="4"/>
        <v>WIN</v>
      </c>
      <c r="O146" s="1">
        <f t="shared" si="5"/>
        <v>1</v>
      </c>
    </row>
    <row r="147" ht="15.75" customHeight="1">
      <c r="A147" s="1">
        <v>23.0</v>
      </c>
      <c r="B147" s="24" t="s">
        <v>1392</v>
      </c>
      <c r="C147" s="22">
        <v>0.6770833333333334</v>
      </c>
      <c r="D147" s="67" t="s">
        <v>24</v>
      </c>
      <c r="E147" s="13" t="s">
        <v>181</v>
      </c>
      <c r="F147" s="1" t="s">
        <v>396</v>
      </c>
      <c r="G147" s="24" t="s">
        <v>59</v>
      </c>
      <c r="H147" s="25">
        <v>74221.0</v>
      </c>
      <c r="I147" s="26">
        <v>0.16805555555555557</v>
      </c>
      <c r="J147" s="17" t="s">
        <v>354</v>
      </c>
      <c r="K147" s="1">
        <f t="shared" si="1"/>
        <v>4</v>
      </c>
      <c r="L147" s="1">
        <f t="shared" si="2"/>
        <v>2</v>
      </c>
      <c r="M147" s="1" t="str">
        <f t="shared" si="35"/>
        <v>#N/A</v>
      </c>
      <c r="N147" s="1" t="str">
        <f t="shared" si="4"/>
        <v>WIN</v>
      </c>
      <c r="O147" s="1">
        <f t="shared" si="5"/>
        <v>1</v>
      </c>
    </row>
    <row r="148" ht="15.75" customHeight="1">
      <c r="A148" s="1">
        <v>27.0</v>
      </c>
      <c r="B148" s="24" t="s">
        <v>1393</v>
      </c>
      <c r="C148" s="22">
        <v>0.6770833333333334</v>
      </c>
      <c r="D148" s="67" t="s">
        <v>19</v>
      </c>
      <c r="E148" s="13" t="s">
        <v>43</v>
      </c>
      <c r="F148" s="1" t="s">
        <v>403</v>
      </c>
      <c r="G148" s="24" t="s">
        <v>59</v>
      </c>
      <c r="H148" s="25">
        <v>30146.0</v>
      </c>
      <c r="I148" s="26">
        <v>0.043055555555555555</v>
      </c>
      <c r="J148" s="17" t="s">
        <v>354</v>
      </c>
      <c r="K148" s="1">
        <f t="shared" si="1"/>
        <v>1</v>
      </c>
      <c r="L148" s="1">
        <f t="shared" si="2"/>
        <v>2</v>
      </c>
      <c r="M148" s="1" t="str">
        <f t="shared" si="35"/>
        <v>#N/A</v>
      </c>
      <c r="N148" s="1" t="str">
        <f t="shared" si="4"/>
        <v>WIN</v>
      </c>
      <c r="O148" s="1">
        <f t="shared" si="5"/>
        <v>1</v>
      </c>
    </row>
    <row r="149" ht="15.75" customHeight="1">
      <c r="A149" s="1">
        <v>36.0</v>
      </c>
      <c r="B149" s="24" t="s">
        <v>1394</v>
      </c>
      <c r="C149" s="22">
        <v>0.8645833333333334</v>
      </c>
      <c r="D149" s="67" t="s">
        <v>24</v>
      </c>
      <c r="E149" s="13" t="s">
        <v>30</v>
      </c>
      <c r="F149" s="1" t="s">
        <v>543</v>
      </c>
      <c r="G149" s="24" t="s">
        <v>483</v>
      </c>
      <c r="H149" s="25">
        <v>97939.0</v>
      </c>
      <c r="I149" s="26">
        <v>0.08472222222222223</v>
      </c>
      <c r="J149" s="1" t="s">
        <v>591</v>
      </c>
      <c r="K149" s="1">
        <f t="shared" si="1"/>
        <v>2</v>
      </c>
      <c r="L149" s="1">
        <f t="shared" si="2"/>
        <v>2</v>
      </c>
      <c r="M149" s="1" t="str">
        <f t="shared" si="35"/>
        <v>#N/A</v>
      </c>
      <c r="N149" s="1" t="str">
        <f t="shared" si="4"/>
        <v>DRAW</v>
      </c>
      <c r="O149" s="1">
        <f t="shared" si="5"/>
        <v>0</v>
      </c>
    </row>
    <row r="150" ht="15.75" customHeight="1">
      <c r="A150" s="1">
        <v>8.0</v>
      </c>
      <c r="B150" s="24" t="s">
        <v>1395</v>
      </c>
      <c r="C150" s="22">
        <v>0.875</v>
      </c>
      <c r="D150" s="67" t="s">
        <v>24</v>
      </c>
      <c r="E150" s="13" t="s">
        <v>272</v>
      </c>
      <c r="F150" s="1" t="s">
        <v>450</v>
      </c>
      <c r="G150" s="24" t="s">
        <v>59</v>
      </c>
      <c r="H150" s="25">
        <v>81331.0</v>
      </c>
      <c r="I150" s="26">
        <v>0.16666666666666666</v>
      </c>
      <c r="J150" s="1" t="s">
        <v>437</v>
      </c>
      <c r="K150" s="1">
        <f t="shared" si="1"/>
        <v>4</v>
      </c>
      <c r="L150" s="1">
        <f t="shared" si="2"/>
        <v>0</v>
      </c>
      <c r="M150" s="1" t="str">
        <f t="shared" si="35"/>
        <v>#N/A</v>
      </c>
      <c r="N150" s="1" t="str">
        <f t="shared" si="4"/>
        <v>WIN</v>
      </c>
      <c r="O150" s="1">
        <f t="shared" si="5"/>
        <v>1</v>
      </c>
    </row>
    <row r="151" ht="15.75" customHeight="1">
      <c r="A151" s="1">
        <v>9.0</v>
      </c>
      <c r="B151" s="24" t="s">
        <v>1396</v>
      </c>
      <c r="C151" s="22">
        <v>0.6770833333333334</v>
      </c>
      <c r="D151" s="67" t="s">
        <v>19</v>
      </c>
      <c r="E151" s="13" t="s">
        <v>30</v>
      </c>
      <c r="F151" s="1" t="s">
        <v>69</v>
      </c>
      <c r="G151" s="24" t="s">
        <v>21</v>
      </c>
      <c r="H151" s="25">
        <v>19468.0</v>
      </c>
      <c r="I151" s="26">
        <v>0.0020833333333333333</v>
      </c>
      <c r="J151" s="17" t="s">
        <v>53</v>
      </c>
      <c r="K151" s="1">
        <f t="shared" si="1"/>
        <v>0</v>
      </c>
      <c r="L151" s="1">
        <f t="shared" si="2"/>
        <v>3</v>
      </c>
      <c r="M151" s="1" t="str">
        <f>+CONCAT(K151,L151)</f>
        <v>03</v>
      </c>
      <c r="N151" s="1" t="str">
        <f t="shared" si="4"/>
        <v>WIN</v>
      </c>
      <c r="O151" s="1">
        <f t="shared" si="5"/>
        <v>1</v>
      </c>
    </row>
    <row r="152" ht="15.75" customHeight="1">
      <c r="A152" s="1">
        <v>18.0</v>
      </c>
      <c r="B152" s="24" t="s">
        <v>1397</v>
      </c>
      <c r="C152" s="22">
        <v>0.6770833333333334</v>
      </c>
      <c r="D152" s="67" t="s">
        <v>24</v>
      </c>
      <c r="E152" s="13" t="s">
        <v>30</v>
      </c>
      <c r="F152" s="1" t="s">
        <v>620</v>
      </c>
      <c r="G152" s="24" t="s">
        <v>483</v>
      </c>
      <c r="H152" s="25">
        <v>56380.0</v>
      </c>
      <c r="I152" s="26">
        <v>0.125</v>
      </c>
      <c r="J152" s="1" t="s">
        <v>591</v>
      </c>
      <c r="K152" s="1">
        <f t="shared" si="1"/>
        <v>3</v>
      </c>
      <c r="L152" s="1">
        <f t="shared" si="2"/>
        <v>0</v>
      </c>
      <c r="M152" s="1" t="str">
        <f>+CONCAT(K152,"-",L152)</f>
        <v>#N/A</v>
      </c>
      <c r="N152" s="1" t="str">
        <f t="shared" si="4"/>
        <v>WIN</v>
      </c>
      <c r="O152" s="1">
        <f t="shared" si="5"/>
        <v>1</v>
      </c>
    </row>
    <row r="153" ht="15.75" customHeight="1">
      <c r="A153" s="24" t="s">
        <v>157</v>
      </c>
      <c r="B153" s="24" t="s">
        <v>1398</v>
      </c>
      <c r="C153" s="22">
        <v>0.875</v>
      </c>
      <c r="D153" s="67" t="s">
        <v>19</v>
      </c>
      <c r="E153" s="13"/>
      <c r="F153" s="1" t="s">
        <v>159</v>
      </c>
      <c r="G153" s="24" t="s">
        <v>59</v>
      </c>
      <c r="H153" s="27">
        <v>6000.0</v>
      </c>
      <c r="I153" s="26">
        <v>0.08541666666666667</v>
      </c>
      <c r="J153" s="17" t="s">
        <v>175</v>
      </c>
      <c r="K153" s="1">
        <f t="shared" si="1"/>
        <v>2</v>
      </c>
      <c r="L153" s="1">
        <f t="shared" si="2"/>
        <v>3</v>
      </c>
      <c r="M153" s="1" t="str">
        <f>+CONCAT(K153,L153)</f>
        <v>23</v>
      </c>
      <c r="N153" s="1" t="str">
        <f t="shared" si="4"/>
        <v>WIN</v>
      </c>
      <c r="O153" s="1">
        <f t="shared" si="5"/>
        <v>1</v>
      </c>
    </row>
    <row r="154" ht="15.75" customHeight="1">
      <c r="A154" s="1">
        <v>8.0</v>
      </c>
      <c r="B154" s="24" t="s">
        <v>1399</v>
      </c>
      <c r="C154" s="22">
        <v>0.8645833333333334</v>
      </c>
      <c r="D154" s="67" t="s">
        <v>19</v>
      </c>
      <c r="E154" s="13" t="s">
        <v>30</v>
      </c>
      <c r="F154" s="1" t="s">
        <v>512</v>
      </c>
      <c r="G154" s="24" t="s">
        <v>59</v>
      </c>
      <c r="H154" s="25">
        <v>46249.0</v>
      </c>
      <c r="I154" s="26">
        <v>0.04236111111111111</v>
      </c>
      <c r="J154" s="1" t="s">
        <v>500</v>
      </c>
      <c r="K154" s="1">
        <f t="shared" si="1"/>
        <v>1</v>
      </c>
      <c r="L154" s="1">
        <f t="shared" si="2"/>
        <v>1</v>
      </c>
      <c r="M154" s="1" t="str">
        <f>+CONCAT(K154,"-",L154)</f>
        <v>#N/A</v>
      </c>
      <c r="N154" s="1" t="str">
        <f t="shared" si="4"/>
        <v>DRAW</v>
      </c>
      <c r="O154" s="1">
        <f t="shared" si="5"/>
        <v>0</v>
      </c>
    </row>
    <row r="155" ht="15.75" customHeight="1">
      <c r="A155" s="1">
        <v>16.0</v>
      </c>
      <c r="B155" s="24" t="s">
        <v>1400</v>
      </c>
      <c r="C155" s="22">
        <v>0.875</v>
      </c>
      <c r="D155" s="67" t="s">
        <v>19</v>
      </c>
      <c r="E155" s="13" t="s">
        <v>30</v>
      </c>
      <c r="F155" s="1" t="s">
        <v>227</v>
      </c>
      <c r="G155" s="24" t="s">
        <v>59</v>
      </c>
      <c r="H155" s="25">
        <v>63493.0</v>
      </c>
      <c r="I155" s="26">
        <v>6.944444444444445E-4</v>
      </c>
      <c r="J155" s="17" t="s">
        <v>268</v>
      </c>
      <c r="K155" s="1">
        <f t="shared" si="1"/>
        <v>0</v>
      </c>
      <c r="L155" s="1">
        <f t="shared" si="2"/>
        <v>1</v>
      </c>
      <c r="M155" s="1" t="str">
        <f t="shared" ref="M155:M156" si="36">+CONCAT(K155,L155)</f>
        <v>01</v>
      </c>
      <c r="N155" s="1" t="str">
        <f t="shared" si="4"/>
        <v>WIN</v>
      </c>
      <c r="O155" s="1">
        <f t="shared" si="5"/>
        <v>1</v>
      </c>
    </row>
    <row r="156" ht="15.75" customHeight="1">
      <c r="A156" s="1">
        <v>9.0</v>
      </c>
      <c r="B156" s="24" t="s">
        <v>1401</v>
      </c>
      <c r="C156" s="22">
        <v>0.875</v>
      </c>
      <c r="D156" s="67" t="s">
        <v>19</v>
      </c>
      <c r="E156" s="13" t="s">
        <v>33</v>
      </c>
      <c r="F156" s="1" t="s">
        <v>193</v>
      </c>
      <c r="G156" s="24" t="s">
        <v>59</v>
      </c>
      <c r="H156" s="25">
        <v>20354.0</v>
      </c>
      <c r="I156" s="26">
        <v>0.08472222222222223</v>
      </c>
      <c r="J156" s="17" t="s">
        <v>175</v>
      </c>
      <c r="K156" s="1">
        <f t="shared" si="1"/>
        <v>2</v>
      </c>
      <c r="L156" s="1">
        <f t="shared" si="2"/>
        <v>2</v>
      </c>
      <c r="M156" s="1" t="str">
        <f t="shared" si="36"/>
        <v>22</v>
      </c>
      <c r="N156" s="1" t="str">
        <f t="shared" si="4"/>
        <v>DRAW</v>
      </c>
      <c r="O156" s="1">
        <f t="shared" si="5"/>
        <v>0</v>
      </c>
    </row>
    <row r="157" ht="15.75" customHeight="1">
      <c r="A157" s="1">
        <v>23.0</v>
      </c>
      <c r="B157" s="24" t="s">
        <v>1402</v>
      </c>
      <c r="C157" s="22">
        <v>0.875</v>
      </c>
      <c r="D157" s="67" t="s">
        <v>19</v>
      </c>
      <c r="E157" s="13" t="s">
        <v>33</v>
      </c>
      <c r="F157" s="1" t="s">
        <v>476</v>
      </c>
      <c r="G157" s="24" t="s">
        <v>477</v>
      </c>
      <c r="H157" s="25">
        <v>54526.0</v>
      </c>
      <c r="I157" s="26">
        <v>0.08541666666666667</v>
      </c>
      <c r="J157" s="1" t="s">
        <v>437</v>
      </c>
      <c r="K157" s="1">
        <f t="shared" si="1"/>
        <v>2</v>
      </c>
      <c r="L157" s="1">
        <f t="shared" si="2"/>
        <v>3</v>
      </c>
      <c r="M157" s="1" t="str">
        <f>+CONCAT(K157,"-",L157)</f>
        <v>#N/A</v>
      </c>
      <c r="N157" s="1" t="str">
        <f t="shared" si="4"/>
        <v>WIN</v>
      </c>
      <c r="O157" s="1">
        <f t="shared" si="5"/>
        <v>1</v>
      </c>
    </row>
    <row r="158" ht="15.75" customHeight="1">
      <c r="A158" s="1">
        <v>23.0</v>
      </c>
      <c r="B158" s="24" t="s">
        <v>1403</v>
      </c>
      <c r="C158" s="22">
        <v>0.875</v>
      </c>
      <c r="D158" s="67" t="s">
        <v>19</v>
      </c>
      <c r="E158" s="13" t="s">
        <v>87</v>
      </c>
      <c r="F158" s="1" t="s">
        <v>71</v>
      </c>
      <c r="G158" s="24" t="s">
        <v>59</v>
      </c>
      <c r="H158" s="25">
        <v>38592.0</v>
      </c>
      <c r="I158" s="26">
        <v>0.044444444444444446</v>
      </c>
      <c r="J158" s="17" t="s">
        <v>53</v>
      </c>
      <c r="K158" s="1">
        <f t="shared" si="1"/>
        <v>1</v>
      </c>
      <c r="L158" s="1">
        <f t="shared" si="2"/>
        <v>4</v>
      </c>
      <c r="M158" s="1" t="str">
        <f t="shared" ref="M158:M160" si="37">+CONCAT(K158,L158)</f>
        <v>14</v>
      </c>
      <c r="N158" s="1" t="str">
        <f t="shared" si="4"/>
        <v>WIN</v>
      </c>
      <c r="O158" s="1">
        <f t="shared" si="5"/>
        <v>1</v>
      </c>
    </row>
    <row r="159" ht="15.75" customHeight="1">
      <c r="A159" s="1">
        <v>8.0</v>
      </c>
      <c r="B159" s="24" t="s">
        <v>1404</v>
      </c>
      <c r="C159" s="22">
        <v>0.875</v>
      </c>
      <c r="D159" s="67" t="s">
        <v>24</v>
      </c>
      <c r="E159" s="13" t="s">
        <v>30</v>
      </c>
      <c r="F159" s="1" t="s">
        <v>283</v>
      </c>
      <c r="G159" s="24" t="s">
        <v>59</v>
      </c>
      <c r="H159" s="25">
        <v>81525.0</v>
      </c>
      <c r="I159" s="26">
        <v>0.041666666666666664</v>
      </c>
      <c r="J159" s="17" t="s">
        <v>268</v>
      </c>
      <c r="K159" s="1">
        <f t="shared" si="1"/>
        <v>1</v>
      </c>
      <c r="L159" s="1">
        <f t="shared" si="2"/>
        <v>0</v>
      </c>
      <c r="M159" s="1" t="str">
        <f t="shared" si="37"/>
        <v>10</v>
      </c>
      <c r="N159" s="1" t="str">
        <f t="shared" si="4"/>
        <v>WIN</v>
      </c>
      <c r="O159" s="1">
        <f t="shared" si="5"/>
        <v>1</v>
      </c>
    </row>
    <row r="160" ht="15.75" customHeight="1">
      <c r="A160" s="6">
        <v>12.0</v>
      </c>
      <c r="B160" s="14" t="s">
        <v>1405</v>
      </c>
      <c r="C160" s="22">
        <v>0.875</v>
      </c>
      <c r="D160" s="66" t="s">
        <v>19</v>
      </c>
      <c r="E160" s="20" t="s">
        <v>33</v>
      </c>
      <c r="F160" s="6" t="s">
        <v>1406</v>
      </c>
      <c r="G160" s="14" t="s">
        <v>35</v>
      </c>
      <c r="H160" s="15">
        <v>21887.0</v>
      </c>
      <c r="I160" s="16">
        <v>0.08611111111111111</v>
      </c>
      <c r="J160" s="17" t="s">
        <v>22</v>
      </c>
      <c r="K160" s="1">
        <f t="shared" si="1"/>
        <v>2</v>
      </c>
      <c r="L160" s="1">
        <f t="shared" si="2"/>
        <v>4</v>
      </c>
      <c r="M160" s="1" t="str">
        <f t="shared" si="37"/>
        <v>24</v>
      </c>
      <c r="N160" s="1" t="str">
        <f t="shared" si="4"/>
        <v>WIN</v>
      </c>
      <c r="O160" s="1">
        <f t="shared" si="5"/>
        <v>1</v>
      </c>
    </row>
    <row r="161" ht="15.75" customHeight="1">
      <c r="A161" s="1">
        <v>23.0</v>
      </c>
      <c r="B161" s="24" t="s">
        <v>1407</v>
      </c>
      <c r="C161" s="22">
        <v>0.8645833333333334</v>
      </c>
      <c r="D161" s="67" t="s">
        <v>19</v>
      </c>
      <c r="E161" s="13" t="s">
        <v>30</v>
      </c>
      <c r="F161" s="1" t="s">
        <v>55</v>
      </c>
      <c r="G161" s="24" t="s">
        <v>59</v>
      </c>
      <c r="H161" s="25">
        <v>47557.0</v>
      </c>
      <c r="I161" s="26">
        <v>0.0</v>
      </c>
      <c r="J161" s="1" t="s">
        <v>500</v>
      </c>
      <c r="K161" s="1">
        <f t="shared" si="1"/>
        <v>0</v>
      </c>
      <c r="L161" s="1">
        <f t="shared" si="2"/>
        <v>0</v>
      </c>
      <c r="M161" s="1" t="str">
        <f t="shared" ref="M161:M162" si="38">+CONCAT(K161,"-",L161)</f>
        <v>#N/A</v>
      </c>
      <c r="N161" s="1" t="str">
        <f t="shared" si="4"/>
        <v>DRAW</v>
      </c>
      <c r="O161" s="1">
        <f t="shared" si="5"/>
        <v>0</v>
      </c>
    </row>
    <row r="162" ht="15.75" customHeight="1">
      <c r="A162" s="1">
        <v>31.0</v>
      </c>
      <c r="B162" s="24" t="s">
        <v>1408</v>
      </c>
      <c r="C162" s="22">
        <v>0.875</v>
      </c>
      <c r="D162" s="67" t="s">
        <v>19</v>
      </c>
      <c r="E162" s="13" t="s">
        <v>33</v>
      </c>
      <c r="F162" s="1" t="s">
        <v>408</v>
      </c>
      <c r="G162" s="24" t="s">
        <v>59</v>
      </c>
      <c r="H162" s="25">
        <v>20785.0</v>
      </c>
      <c r="I162" s="26">
        <v>0.08541666666666667</v>
      </c>
      <c r="J162" s="17" t="s">
        <v>354</v>
      </c>
      <c r="K162" s="1">
        <f t="shared" si="1"/>
        <v>2</v>
      </c>
      <c r="L162" s="1">
        <f t="shared" si="2"/>
        <v>3</v>
      </c>
      <c r="M162" s="1" t="str">
        <f t="shared" si="38"/>
        <v>#N/A</v>
      </c>
      <c r="N162" s="1" t="str">
        <f t="shared" si="4"/>
        <v>WIN</v>
      </c>
      <c r="O162" s="1">
        <f t="shared" si="5"/>
        <v>1</v>
      </c>
    </row>
    <row r="163" ht="15.75" customHeight="1">
      <c r="A163" s="1">
        <v>13.0</v>
      </c>
      <c r="B163" s="24" t="s">
        <v>1409</v>
      </c>
      <c r="C163" s="22">
        <v>0.875</v>
      </c>
      <c r="D163" s="67" t="s">
        <v>19</v>
      </c>
      <c r="E163" s="13" t="s">
        <v>30</v>
      </c>
      <c r="F163" s="1" t="s">
        <v>77</v>
      </c>
      <c r="G163" s="24" t="s">
        <v>59</v>
      </c>
      <c r="H163" s="25">
        <v>36194.0</v>
      </c>
      <c r="I163" s="26">
        <v>0.041666666666666664</v>
      </c>
      <c r="J163" s="17" t="s">
        <v>53</v>
      </c>
      <c r="K163" s="1">
        <f t="shared" si="1"/>
        <v>1</v>
      </c>
      <c r="L163" s="1">
        <f t="shared" si="2"/>
        <v>0</v>
      </c>
      <c r="M163" s="1" t="str">
        <f>+CONCAT(K163,L163)</f>
        <v>10</v>
      </c>
      <c r="N163" s="1" t="str">
        <f t="shared" si="4"/>
        <v>LOSS</v>
      </c>
      <c r="O163" s="1">
        <f t="shared" si="5"/>
        <v>-1</v>
      </c>
    </row>
    <row r="164" ht="15.75" customHeight="1">
      <c r="A164" s="1">
        <v>15.0</v>
      </c>
      <c r="B164" s="24" t="s">
        <v>1410</v>
      </c>
      <c r="C164" s="22">
        <v>0.8645833333333334</v>
      </c>
      <c r="D164" s="67" t="s">
        <v>19</v>
      </c>
      <c r="E164" s="13" t="s">
        <v>30</v>
      </c>
      <c r="F164" s="1" t="s">
        <v>303</v>
      </c>
      <c r="G164" s="24" t="s">
        <v>59</v>
      </c>
      <c r="H164" s="25">
        <v>21087.0</v>
      </c>
      <c r="I164" s="26">
        <v>0.001388888888888889</v>
      </c>
      <c r="J164" s="1" t="s">
        <v>591</v>
      </c>
      <c r="K164" s="1">
        <f t="shared" si="1"/>
        <v>0</v>
      </c>
      <c r="L164" s="1">
        <f t="shared" si="2"/>
        <v>2</v>
      </c>
      <c r="M164" s="1" t="str">
        <f>+CONCAT(K164,"-",L164)</f>
        <v>#N/A</v>
      </c>
      <c r="N164" s="1" t="str">
        <f t="shared" si="4"/>
        <v>WIN</v>
      </c>
      <c r="O164" s="1">
        <f t="shared" si="5"/>
        <v>1</v>
      </c>
    </row>
    <row r="165" ht="15.75" customHeight="1">
      <c r="A165" s="1">
        <v>16.0</v>
      </c>
      <c r="B165" s="24" t="s">
        <v>1411</v>
      </c>
      <c r="C165" s="22">
        <v>0.875</v>
      </c>
      <c r="D165" s="67" t="s">
        <v>24</v>
      </c>
      <c r="E165" s="13" t="s">
        <v>43</v>
      </c>
      <c r="F165" s="1" t="s">
        <v>205</v>
      </c>
      <c r="G165" s="24" t="s">
        <v>59</v>
      </c>
      <c r="H165" s="25">
        <v>42848.0</v>
      </c>
      <c r="I165" s="26">
        <v>0.08611111111111111</v>
      </c>
      <c r="J165" s="17" t="s">
        <v>175</v>
      </c>
      <c r="K165" s="1">
        <f t="shared" si="1"/>
        <v>2</v>
      </c>
      <c r="L165" s="1">
        <f t="shared" si="2"/>
        <v>4</v>
      </c>
      <c r="M165" s="1" t="str">
        <f>+CONCAT(K165,L165)</f>
        <v>24</v>
      </c>
      <c r="N165" s="1" t="str">
        <f t="shared" si="4"/>
        <v>LOSS</v>
      </c>
      <c r="O165" s="1">
        <f t="shared" si="5"/>
        <v>-1</v>
      </c>
    </row>
    <row r="166" ht="15.75" customHeight="1">
      <c r="A166" s="1">
        <v>23.0</v>
      </c>
      <c r="B166" s="24" t="s">
        <v>1412</v>
      </c>
      <c r="C166" s="22">
        <v>0.6770833333333334</v>
      </c>
      <c r="D166" s="67" t="s">
        <v>24</v>
      </c>
      <c r="E166" s="13" t="s">
        <v>30</v>
      </c>
      <c r="F166" s="1" t="s">
        <v>627</v>
      </c>
      <c r="G166" s="24" t="s">
        <v>483</v>
      </c>
      <c r="H166" s="25">
        <v>74079.0</v>
      </c>
      <c r="I166" s="26">
        <v>0.0</v>
      </c>
      <c r="J166" s="1" t="s">
        <v>591</v>
      </c>
      <c r="K166" s="1">
        <f t="shared" si="1"/>
        <v>0</v>
      </c>
      <c r="L166" s="1">
        <f t="shared" si="2"/>
        <v>0</v>
      </c>
      <c r="M166" s="1" t="str">
        <f>+CONCAT(K166,"-",L166)</f>
        <v>#N/A</v>
      </c>
      <c r="N166" s="1" t="str">
        <f t="shared" si="4"/>
        <v>DRAW</v>
      </c>
      <c r="O166" s="1">
        <f t="shared" si="5"/>
        <v>0</v>
      </c>
    </row>
    <row r="167" ht="15.75" customHeight="1">
      <c r="A167" s="1">
        <v>24.0</v>
      </c>
      <c r="B167" s="24" t="s">
        <v>1413</v>
      </c>
      <c r="C167" s="22">
        <v>0.875</v>
      </c>
      <c r="D167" s="67" t="s">
        <v>24</v>
      </c>
      <c r="E167" s="13" t="s">
        <v>87</v>
      </c>
      <c r="F167" s="1" t="s">
        <v>193</v>
      </c>
      <c r="G167" s="24" t="s">
        <v>59</v>
      </c>
      <c r="H167" s="25">
        <v>41901.0</v>
      </c>
      <c r="I167" s="26">
        <v>0.12708333333333333</v>
      </c>
      <c r="J167" s="17" t="s">
        <v>175</v>
      </c>
      <c r="K167" s="1">
        <f t="shared" si="1"/>
        <v>3</v>
      </c>
      <c r="L167" s="1">
        <f t="shared" si="2"/>
        <v>3</v>
      </c>
      <c r="M167" s="1" t="str">
        <f t="shared" ref="M167:M168" si="39">+CONCAT(K167,L167)</f>
        <v>33</v>
      </c>
      <c r="N167" s="1" t="str">
        <f t="shared" si="4"/>
        <v>DRAW</v>
      </c>
      <c r="O167" s="1">
        <f t="shared" si="5"/>
        <v>0</v>
      </c>
    </row>
    <row r="168" ht="15.75" customHeight="1">
      <c r="A168" s="1">
        <v>35.0</v>
      </c>
      <c r="B168" s="24" t="s">
        <v>1414</v>
      </c>
      <c r="C168" s="22">
        <v>0.6770833333333334</v>
      </c>
      <c r="D168" s="67" t="s">
        <v>24</v>
      </c>
      <c r="E168" s="13" t="s">
        <v>30</v>
      </c>
      <c r="F168" s="1" t="s">
        <v>73</v>
      </c>
      <c r="G168" s="24" t="s">
        <v>21</v>
      </c>
      <c r="H168" s="25">
        <v>50319.0</v>
      </c>
      <c r="I168" s="26">
        <v>0.16875</v>
      </c>
      <c r="J168" s="17" t="s">
        <v>53</v>
      </c>
      <c r="K168" s="1">
        <f t="shared" si="1"/>
        <v>4</v>
      </c>
      <c r="L168" s="1">
        <f t="shared" si="2"/>
        <v>3</v>
      </c>
      <c r="M168" s="1" t="str">
        <f t="shared" si="39"/>
        <v>43</v>
      </c>
      <c r="N168" s="1" t="str">
        <f t="shared" si="4"/>
        <v>WIN</v>
      </c>
      <c r="O168" s="1">
        <f t="shared" si="5"/>
        <v>1</v>
      </c>
    </row>
    <row r="169" ht="15.75" customHeight="1">
      <c r="A169" s="1">
        <v>12.0</v>
      </c>
      <c r="B169" s="24" t="s">
        <v>1415</v>
      </c>
      <c r="C169" s="22">
        <v>0.6770833333333334</v>
      </c>
      <c r="D169" s="67" t="s">
        <v>24</v>
      </c>
      <c r="E169" s="13" t="s">
        <v>30</v>
      </c>
      <c r="F169" s="1" t="s">
        <v>440</v>
      </c>
      <c r="G169" s="24" t="s">
        <v>483</v>
      </c>
      <c r="H169" s="25">
        <v>83174.0</v>
      </c>
      <c r="I169" s="26">
        <v>0.12777777777777777</v>
      </c>
      <c r="J169" s="1" t="s">
        <v>500</v>
      </c>
      <c r="K169" s="1">
        <f t="shared" si="1"/>
        <v>3</v>
      </c>
      <c r="L169" s="1">
        <f t="shared" si="2"/>
        <v>4</v>
      </c>
      <c r="M169" s="1" t="str">
        <f t="shared" ref="M169:M172" si="40">+CONCAT(K169,"-",L169)</f>
        <v>#N/A</v>
      </c>
      <c r="N169" s="1" t="str">
        <f t="shared" si="4"/>
        <v>LOSS</v>
      </c>
      <c r="O169" s="1">
        <f t="shared" si="5"/>
        <v>-1</v>
      </c>
    </row>
    <row r="170" ht="15.75" customHeight="1">
      <c r="A170" s="1">
        <v>21.0</v>
      </c>
      <c r="B170" s="24" t="s">
        <v>1416</v>
      </c>
      <c r="C170" s="22">
        <v>0.875</v>
      </c>
      <c r="D170" s="67" t="s">
        <v>19</v>
      </c>
      <c r="E170" s="13" t="s">
        <v>30</v>
      </c>
      <c r="F170" s="1" t="s">
        <v>303</v>
      </c>
      <c r="G170" s="24" t="s">
        <v>59</v>
      </c>
      <c r="H170" s="25">
        <v>21178.0</v>
      </c>
      <c r="I170" s="26">
        <v>6.944444444444445E-4</v>
      </c>
      <c r="J170" s="17" t="s">
        <v>268</v>
      </c>
      <c r="K170" s="1">
        <f t="shared" si="1"/>
        <v>0</v>
      </c>
      <c r="L170" s="1">
        <f t="shared" si="2"/>
        <v>1</v>
      </c>
      <c r="M170" s="1" t="str">
        <f t="shared" si="40"/>
        <v>#N/A</v>
      </c>
      <c r="N170" s="1" t="str">
        <f t="shared" si="4"/>
        <v>WIN</v>
      </c>
      <c r="O170" s="1">
        <f t="shared" si="5"/>
        <v>1</v>
      </c>
    </row>
    <row r="171" ht="15.75" customHeight="1">
      <c r="A171" s="1">
        <v>25.0</v>
      </c>
      <c r="B171" s="24" t="s">
        <v>1417</v>
      </c>
      <c r="C171" s="22">
        <v>0.875</v>
      </c>
      <c r="D171" s="67" t="s">
        <v>19</v>
      </c>
      <c r="E171" s="13" t="s">
        <v>30</v>
      </c>
      <c r="F171" s="1" t="s">
        <v>311</v>
      </c>
      <c r="G171" s="24" t="s">
        <v>59</v>
      </c>
      <c r="H171" s="25">
        <v>49741.0</v>
      </c>
      <c r="I171" s="26">
        <v>6.944444444444445E-4</v>
      </c>
      <c r="J171" s="17" t="s">
        <v>268</v>
      </c>
      <c r="K171" s="1">
        <f t="shared" si="1"/>
        <v>0</v>
      </c>
      <c r="L171" s="1">
        <f t="shared" si="2"/>
        <v>1</v>
      </c>
      <c r="M171" s="1" t="str">
        <f t="shared" si="40"/>
        <v>#N/A</v>
      </c>
      <c r="N171" s="1" t="str">
        <f t="shared" si="4"/>
        <v>WIN</v>
      </c>
      <c r="O171" s="1">
        <f t="shared" si="5"/>
        <v>1</v>
      </c>
    </row>
    <row r="172" ht="15.75" customHeight="1">
      <c r="A172" s="1">
        <v>37.0</v>
      </c>
      <c r="B172" s="24" t="s">
        <v>1418</v>
      </c>
      <c r="C172" s="22">
        <v>0.7708333333333334</v>
      </c>
      <c r="D172" s="67" t="s">
        <v>24</v>
      </c>
      <c r="E172" s="13" t="s">
        <v>30</v>
      </c>
      <c r="F172" s="1" t="s">
        <v>559</v>
      </c>
      <c r="G172" s="24" t="s">
        <v>59</v>
      </c>
      <c r="H172" s="25">
        <v>57088.0</v>
      </c>
      <c r="I172" s="26">
        <v>0.08333333333333333</v>
      </c>
      <c r="J172" s="1" t="s">
        <v>500</v>
      </c>
      <c r="K172" s="1">
        <f t="shared" si="1"/>
        <v>2</v>
      </c>
      <c r="L172" s="1">
        <f t="shared" si="2"/>
        <v>0</v>
      </c>
      <c r="M172" s="1" t="str">
        <f t="shared" si="40"/>
        <v>#N/A</v>
      </c>
      <c r="N172" s="1" t="str">
        <f t="shared" si="4"/>
        <v>WIN</v>
      </c>
      <c r="O172" s="1">
        <f t="shared" si="5"/>
        <v>1</v>
      </c>
    </row>
    <row r="173" ht="15.75" customHeight="1">
      <c r="A173" s="1">
        <v>13.0</v>
      </c>
      <c r="B173" s="24" t="s">
        <v>1419</v>
      </c>
      <c r="C173" s="22">
        <v>0.6770833333333334</v>
      </c>
      <c r="D173" s="67" t="s">
        <v>24</v>
      </c>
      <c r="E173" s="13" t="s">
        <v>43</v>
      </c>
      <c r="F173" s="1" t="s">
        <v>200</v>
      </c>
      <c r="G173" s="24" t="s">
        <v>59</v>
      </c>
      <c r="H173" s="25">
        <v>38133.0</v>
      </c>
      <c r="I173" s="26">
        <v>0.08402777777777778</v>
      </c>
      <c r="J173" s="17" t="s">
        <v>175</v>
      </c>
      <c r="K173" s="1">
        <f t="shared" si="1"/>
        <v>2</v>
      </c>
      <c r="L173" s="1">
        <f t="shared" si="2"/>
        <v>1</v>
      </c>
      <c r="M173" s="1" t="str">
        <f>+CONCAT(K173,L173)</f>
        <v>21</v>
      </c>
      <c r="N173" s="1" t="str">
        <f t="shared" si="4"/>
        <v>WIN</v>
      </c>
      <c r="O173" s="1">
        <f t="shared" si="5"/>
        <v>1</v>
      </c>
    </row>
    <row r="174" ht="15.75" customHeight="1">
      <c r="A174" s="1">
        <v>17.0</v>
      </c>
      <c r="B174" s="24" t="s">
        <v>1420</v>
      </c>
      <c r="C174" s="22">
        <v>0.6770833333333334</v>
      </c>
      <c r="D174" s="67" t="s">
        <v>19</v>
      </c>
      <c r="E174" s="13" t="s">
        <v>381</v>
      </c>
      <c r="F174" s="1" t="s">
        <v>386</v>
      </c>
      <c r="G174" s="45">
        <v>37714.0</v>
      </c>
      <c r="H174" s="25">
        <v>21427.0</v>
      </c>
      <c r="I174" s="26">
        <v>0.08472222222222223</v>
      </c>
      <c r="J174" s="17" t="s">
        <v>354</v>
      </c>
      <c r="K174" s="1">
        <f t="shared" si="1"/>
        <v>2</v>
      </c>
      <c r="L174" s="1">
        <f t="shared" si="2"/>
        <v>2</v>
      </c>
      <c r="M174" s="1" t="str">
        <f t="shared" ref="M174:M178" si="41">+CONCAT(K174,"-",L174)</f>
        <v>#N/A</v>
      </c>
      <c r="N174" s="1" t="str">
        <f t="shared" si="4"/>
        <v>DRAW</v>
      </c>
      <c r="O174" s="1">
        <f t="shared" si="5"/>
        <v>0</v>
      </c>
    </row>
    <row r="175" ht="15.75" customHeight="1">
      <c r="A175" s="1">
        <v>19.0</v>
      </c>
      <c r="B175" s="24" t="s">
        <v>1421</v>
      </c>
      <c r="C175" s="22">
        <v>0.7708333333333334</v>
      </c>
      <c r="D175" s="67" t="s">
        <v>24</v>
      </c>
      <c r="E175" s="13" t="s">
        <v>30</v>
      </c>
      <c r="F175" s="1" t="s">
        <v>532</v>
      </c>
      <c r="G175" s="24" t="s">
        <v>59</v>
      </c>
      <c r="H175" s="25">
        <v>71039.0</v>
      </c>
      <c r="I175" s="26">
        <v>0.125</v>
      </c>
      <c r="J175" s="1" t="s">
        <v>500</v>
      </c>
      <c r="K175" s="1">
        <f t="shared" si="1"/>
        <v>3</v>
      </c>
      <c r="L175" s="1">
        <f t="shared" si="2"/>
        <v>0</v>
      </c>
      <c r="M175" s="1" t="str">
        <f t="shared" si="41"/>
        <v>#N/A</v>
      </c>
      <c r="N175" s="1" t="str">
        <f t="shared" si="4"/>
        <v>WIN</v>
      </c>
      <c r="O175" s="1">
        <f t="shared" si="5"/>
        <v>1</v>
      </c>
    </row>
    <row r="176" ht="15.75" customHeight="1">
      <c r="A176" s="1">
        <v>24.0</v>
      </c>
      <c r="B176" s="24" t="s">
        <v>1422</v>
      </c>
      <c r="C176" s="22">
        <v>0.875</v>
      </c>
      <c r="D176" s="67" t="s">
        <v>19</v>
      </c>
      <c r="E176" s="13" t="s">
        <v>43</v>
      </c>
      <c r="F176" s="1" t="s">
        <v>398</v>
      </c>
      <c r="G176" s="24" t="s">
        <v>59</v>
      </c>
      <c r="H176" s="25">
        <v>25049.0</v>
      </c>
      <c r="I176" s="26">
        <v>0.08472222222222223</v>
      </c>
      <c r="J176" s="17" t="s">
        <v>354</v>
      </c>
      <c r="K176" s="1">
        <f t="shared" si="1"/>
        <v>2</v>
      </c>
      <c r="L176" s="1">
        <f t="shared" si="2"/>
        <v>2</v>
      </c>
      <c r="M176" s="1" t="str">
        <f t="shared" si="41"/>
        <v>#N/A</v>
      </c>
      <c r="N176" s="1" t="str">
        <f t="shared" si="4"/>
        <v>DRAW</v>
      </c>
      <c r="O176" s="1">
        <f t="shared" si="5"/>
        <v>0</v>
      </c>
    </row>
    <row r="177" ht="15.75" customHeight="1">
      <c r="A177" s="1">
        <v>28.0</v>
      </c>
      <c r="B177" s="24" t="s">
        <v>1423</v>
      </c>
      <c r="C177" s="22">
        <v>0.875</v>
      </c>
      <c r="D177" s="67" t="s">
        <v>24</v>
      </c>
      <c r="E177" s="13" t="s">
        <v>87</v>
      </c>
      <c r="F177" s="1" t="s">
        <v>105</v>
      </c>
      <c r="G177" s="24" t="s">
        <v>59</v>
      </c>
      <c r="H177" s="25">
        <v>54507.0</v>
      </c>
      <c r="I177" s="26">
        <v>0.16666666666666666</v>
      </c>
      <c r="J177" s="17" t="s">
        <v>354</v>
      </c>
      <c r="K177" s="1">
        <f t="shared" si="1"/>
        <v>4</v>
      </c>
      <c r="L177" s="1">
        <f t="shared" si="2"/>
        <v>0</v>
      </c>
      <c r="M177" s="1" t="str">
        <f t="shared" si="41"/>
        <v>#N/A</v>
      </c>
      <c r="N177" s="1" t="str">
        <f t="shared" si="4"/>
        <v>WIN</v>
      </c>
      <c r="O177" s="1">
        <f t="shared" si="5"/>
        <v>1</v>
      </c>
    </row>
    <row r="178" ht="15.75" customHeight="1">
      <c r="A178" s="1">
        <v>37.0</v>
      </c>
      <c r="B178" s="24" t="s">
        <v>1424</v>
      </c>
      <c r="C178" s="22">
        <v>0.8645833333333334</v>
      </c>
      <c r="D178" s="67" t="s">
        <v>19</v>
      </c>
      <c r="E178" s="13" t="s">
        <v>30</v>
      </c>
      <c r="F178" s="1" t="s">
        <v>649</v>
      </c>
      <c r="G178" s="24" t="s">
        <v>59</v>
      </c>
      <c r="H178" s="25">
        <v>22384.0</v>
      </c>
      <c r="I178" s="26">
        <v>0.2111111111111111</v>
      </c>
      <c r="J178" s="1" t="s">
        <v>591</v>
      </c>
      <c r="K178" s="1">
        <f t="shared" si="1"/>
        <v>5</v>
      </c>
      <c r="L178" s="1">
        <f t="shared" si="2"/>
        <v>4</v>
      </c>
      <c r="M178" s="1" t="str">
        <f t="shared" si="41"/>
        <v>#N/A</v>
      </c>
      <c r="N178" s="1" t="str">
        <f t="shared" si="4"/>
        <v>LOSS</v>
      </c>
      <c r="O178" s="1">
        <f t="shared" si="5"/>
        <v>-1</v>
      </c>
    </row>
    <row r="179" ht="15.75" customHeight="1">
      <c r="A179" s="1">
        <v>1.0</v>
      </c>
      <c r="B179" s="24" t="s">
        <v>1425</v>
      </c>
      <c r="C179" s="22">
        <v>0.8958333333333334</v>
      </c>
      <c r="D179" s="67" t="s">
        <v>19</v>
      </c>
      <c r="E179" s="13" t="s">
        <v>33</v>
      </c>
      <c r="F179" s="1" t="s">
        <v>174</v>
      </c>
      <c r="G179" s="24" t="s">
        <v>21</v>
      </c>
      <c r="H179" s="25">
        <v>13410.0</v>
      </c>
      <c r="I179" s="26">
        <v>0.0</v>
      </c>
      <c r="J179" s="17" t="s">
        <v>175</v>
      </c>
      <c r="K179" s="1">
        <f t="shared" si="1"/>
        <v>0</v>
      </c>
      <c r="L179" s="1">
        <f t="shared" si="2"/>
        <v>0</v>
      </c>
      <c r="M179" s="1" t="str">
        <f>+CONCAT(K179,L179)</f>
        <v>00</v>
      </c>
      <c r="N179" s="1" t="str">
        <f t="shared" si="4"/>
        <v>DRAW</v>
      </c>
      <c r="O179" s="1">
        <f t="shared" si="5"/>
        <v>0</v>
      </c>
    </row>
    <row r="180" ht="15.75" customHeight="1">
      <c r="A180" s="1">
        <v>19.0</v>
      </c>
      <c r="B180" s="24" t="s">
        <v>1426</v>
      </c>
      <c r="C180" s="22">
        <v>0.8645833333333334</v>
      </c>
      <c r="D180" s="67" t="s">
        <v>19</v>
      </c>
      <c r="E180" s="13" t="s">
        <v>30</v>
      </c>
      <c r="F180" s="1" t="s">
        <v>622</v>
      </c>
      <c r="G180" s="45">
        <v>37350.0</v>
      </c>
      <c r="H180" s="25">
        <v>23227.0</v>
      </c>
      <c r="I180" s="26">
        <v>0.08611111111111111</v>
      </c>
      <c r="J180" s="1" t="s">
        <v>591</v>
      </c>
      <c r="K180" s="1">
        <f t="shared" si="1"/>
        <v>2</v>
      </c>
      <c r="L180" s="1">
        <f t="shared" si="2"/>
        <v>4</v>
      </c>
      <c r="M180" s="1" t="str">
        <f t="shared" ref="M180:M181" si="42">+CONCAT(K180,"-",L180)</f>
        <v>#N/A</v>
      </c>
      <c r="N180" s="1" t="str">
        <f t="shared" si="4"/>
        <v>WIN</v>
      </c>
      <c r="O180" s="1">
        <f t="shared" si="5"/>
        <v>1</v>
      </c>
    </row>
    <row r="181" ht="15.75" customHeight="1">
      <c r="A181" s="1">
        <v>34.0</v>
      </c>
      <c r="B181" s="24" t="s">
        <v>1427</v>
      </c>
      <c r="C181" s="22">
        <v>0.875</v>
      </c>
      <c r="D181" s="67" t="s">
        <v>19</v>
      </c>
      <c r="E181" s="13" t="s">
        <v>30</v>
      </c>
      <c r="F181" s="1" t="s">
        <v>324</v>
      </c>
      <c r="G181" s="24" t="s">
        <v>59</v>
      </c>
      <c r="H181" s="25">
        <v>27360.0</v>
      </c>
      <c r="I181" s="26">
        <v>0.08611111111111111</v>
      </c>
      <c r="J181" s="17" t="s">
        <v>268</v>
      </c>
      <c r="K181" s="1">
        <f t="shared" si="1"/>
        <v>2</v>
      </c>
      <c r="L181" s="1">
        <f t="shared" si="2"/>
        <v>4</v>
      </c>
      <c r="M181" s="1" t="str">
        <f t="shared" si="42"/>
        <v>#N/A</v>
      </c>
      <c r="N181" s="1" t="str">
        <f t="shared" si="4"/>
        <v>WIN</v>
      </c>
      <c r="O181" s="1">
        <f t="shared" si="5"/>
        <v>1</v>
      </c>
    </row>
    <row r="182" ht="15.75" customHeight="1">
      <c r="A182" s="1">
        <v>4.0</v>
      </c>
      <c r="B182" s="24" t="s">
        <v>1428</v>
      </c>
      <c r="C182" s="22">
        <v>0.875</v>
      </c>
      <c r="D182" s="67" t="s">
        <v>24</v>
      </c>
      <c r="E182" s="13" t="s">
        <v>43</v>
      </c>
      <c r="F182" s="1" t="s">
        <v>44</v>
      </c>
      <c r="G182" s="24" t="s">
        <v>21</v>
      </c>
      <c r="H182" s="25">
        <v>5862.0</v>
      </c>
      <c r="I182" s="26">
        <v>0.25</v>
      </c>
      <c r="J182" s="17" t="s">
        <v>22</v>
      </c>
      <c r="K182" s="1">
        <f t="shared" si="1"/>
        <v>6</v>
      </c>
      <c r="L182" s="1">
        <f t="shared" si="2"/>
        <v>0</v>
      </c>
      <c r="M182" s="1" t="str">
        <f>+CONCAT(K182,L182)</f>
        <v>60</v>
      </c>
      <c r="N182" s="1" t="str">
        <f t="shared" si="4"/>
        <v>WIN</v>
      </c>
      <c r="O182" s="1">
        <f t="shared" si="5"/>
        <v>1</v>
      </c>
    </row>
    <row r="183" ht="15.75" customHeight="1">
      <c r="A183" s="1">
        <v>37.0</v>
      </c>
      <c r="B183" s="24" t="s">
        <v>1429</v>
      </c>
      <c r="C183" s="22">
        <v>0.8125</v>
      </c>
      <c r="D183" s="67" t="s">
        <v>19</v>
      </c>
      <c r="E183" s="13" t="s">
        <v>33</v>
      </c>
      <c r="F183" s="1" t="s">
        <v>92</v>
      </c>
      <c r="G183" s="24" t="s">
        <v>59</v>
      </c>
      <c r="H183" s="25">
        <v>13072.0</v>
      </c>
      <c r="I183" s="26">
        <v>0.0</v>
      </c>
      <c r="J183" s="17" t="s">
        <v>354</v>
      </c>
      <c r="K183" s="1">
        <f t="shared" si="1"/>
        <v>0</v>
      </c>
      <c r="L183" s="1">
        <f t="shared" si="2"/>
        <v>0</v>
      </c>
      <c r="M183" s="1" t="str">
        <f t="shared" ref="M183:M184" si="43">+CONCAT(K183,"-",L183)</f>
        <v>#N/A</v>
      </c>
      <c r="N183" s="1" t="str">
        <f t="shared" si="4"/>
        <v>DRAW</v>
      </c>
      <c r="O183" s="1">
        <f t="shared" si="5"/>
        <v>0</v>
      </c>
    </row>
    <row r="184" ht="15.75" customHeight="1">
      <c r="A184" s="1">
        <v>1.0</v>
      </c>
      <c r="B184" s="24" t="s">
        <v>1430</v>
      </c>
      <c r="C184" s="22">
        <v>0.8333333333333334</v>
      </c>
      <c r="D184" s="67" t="s">
        <v>24</v>
      </c>
      <c r="E184" s="13" t="s">
        <v>33</v>
      </c>
      <c r="F184" s="1" t="s">
        <v>239</v>
      </c>
      <c r="G184" s="24" t="s">
        <v>59</v>
      </c>
      <c r="H184" s="25">
        <v>20384.0</v>
      </c>
      <c r="I184" s="26">
        <v>0.16805555555555557</v>
      </c>
      <c r="J184" s="17" t="s">
        <v>354</v>
      </c>
      <c r="K184" s="1">
        <f t="shared" si="1"/>
        <v>4</v>
      </c>
      <c r="L184" s="1">
        <f t="shared" si="2"/>
        <v>2</v>
      </c>
      <c r="M184" s="1" t="str">
        <f t="shared" si="43"/>
        <v>#N/A</v>
      </c>
      <c r="N184" s="1" t="str">
        <f t="shared" si="4"/>
        <v>WIN</v>
      </c>
      <c r="O184" s="1">
        <f t="shared" si="5"/>
        <v>1</v>
      </c>
    </row>
    <row r="185" ht="15.75" customHeight="1">
      <c r="A185" s="1">
        <v>5.0</v>
      </c>
      <c r="B185" s="24" t="s">
        <v>1431</v>
      </c>
      <c r="C185" s="22">
        <v>0.6770833333333334</v>
      </c>
      <c r="D185" s="67" t="s">
        <v>19</v>
      </c>
      <c r="E185" s="13" t="s">
        <v>30</v>
      </c>
      <c r="F185" s="1" t="s">
        <v>61</v>
      </c>
      <c r="G185" s="24" t="s">
        <v>21</v>
      </c>
      <c r="H185" s="25">
        <v>13891.0</v>
      </c>
      <c r="I185" s="26">
        <v>0.044444444444444446</v>
      </c>
      <c r="J185" s="17" t="s">
        <v>53</v>
      </c>
      <c r="K185" s="1">
        <f t="shared" si="1"/>
        <v>1</v>
      </c>
      <c r="L185" s="1">
        <f t="shared" si="2"/>
        <v>4</v>
      </c>
      <c r="M185" s="1" t="str">
        <f t="shared" ref="M185:M187" si="44">+CONCAT(K185,L185)</f>
        <v>14</v>
      </c>
      <c r="N185" s="1" t="str">
        <f t="shared" si="4"/>
        <v>WIN</v>
      </c>
      <c r="O185" s="1">
        <f t="shared" si="5"/>
        <v>1</v>
      </c>
    </row>
    <row r="186" ht="15.75" customHeight="1">
      <c r="A186" s="1">
        <v>17.0</v>
      </c>
      <c r="B186" s="24" t="s">
        <v>1432</v>
      </c>
      <c r="C186" s="22">
        <v>0.875</v>
      </c>
      <c r="D186" s="67" t="s">
        <v>24</v>
      </c>
      <c r="E186" s="13" t="s">
        <v>33</v>
      </c>
      <c r="F186" s="1" t="s">
        <v>85</v>
      </c>
      <c r="G186" s="24" t="s">
        <v>21</v>
      </c>
      <c r="H186" s="25">
        <v>39523.0</v>
      </c>
      <c r="I186" s="26">
        <v>6.944444444444445E-4</v>
      </c>
      <c r="J186" s="17" t="s">
        <v>53</v>
      </c>
      <c r="K186" s="1">
        <f t="shared" si="1"/>
        <v>0</v>
      </c>
      <c r="L186" s="1">
        <f t="shared" si="2"/>
        <v>1</v>
      </c>
      <c r="M186" s="1" t="str">
        <f t="shared" si="44"/>
        <v>01</v>
      </c>
      <c r="N186" s="1" t="str">
        <f t="shared" si="4"/>
        <v>LOSS</v>
      </c>
      <c r="O186" s="1">
        <f t="shared" si="5"/>
        <v>-1</v>
      </c>
    </row>
    <row r="187" ht="15.75" customHeight="1">
      <c r="A187" s="1">
        <v>28.0</v>
      </c>
      <c r="B187" s="24" t="s">
        <v>1433</v>
      </c>
      <c r="C187" s="22">
        <v>0.875</v>
      </c>
      <c r="D187" s="67" t="s">
        <v>19</v>
      </c>
      <c r="E187" s="13" t="s">
        <v>30</v>
      </c>
      <c r="F187" s="1" t="s">
        <v>107</v>
      </c>
      <c r="G187" s="24" t="s">
        <v>21</v>
      </c>
      <c r="H187" s="25">
        <v>67602.0</v>
      </c>
      <c r="I187" s="26">
        <v>0.08611111111111111</v>
      </c>
      <c r="J187" s="17" t="s">
        <v>53</v>
      </c>
      <c r="K187" s="1">
        <f t="shared" si="1"/>
        <v>2</v>
      </c>
      <c r="L187" s="1">
        <f t="shared" si="2"/>
        <v>4</v>
      </c>
      <c r="M187" s="1" t="str">
        <f t="shared" si="44"/>
        <v>24</v>
      </c>
      <c r="N187" s="1" t="str">
        <f t="shared" si="4"/>
        <v>WIN</v>
      </c>
      <c r="O187" s="1">
        <f t="shared" si="5"/>
        <v>1</v>
      </c>
    </row>
    <row r="188" ht="15.75" customHeight="1">
      <c r="A188" s="1">
        <v>29.0</v>
      </c>
      <c r="B188" s="24" t="s">
        <v>1434</v>
      </c>
      <c r="C188" s="22">
        <v>0.6770833333333334</v>
      </c>
      <c r="D188" s="67" t="s">
        <v>19</v>
      </c>
      <c r="E188" s="13" t="s">
        <v>30</v>
      </c>
      <c r="F188" s="1" t="s">
        <v>92</v>
      </c>
      <c r="G188" s="24" t="s">
        <v>59</v>
      </c>
      <c r="H188" s="25">
        <v>14854.0</v>
      </c>
      <c r="I188" s="26">
        <v>0.0</v>
      </c>
      <c r="J188" s="17" t="s">
        <v>268</v>
      </c>
      <c r="K188" s="1">
        <f t="shared" si="1"/>
        <v>0</v>
      </c>
      <c r="L188" s="1">
        <f t="shared" si="2"/>
        <v>0</v>
      </c>
      <c r="M188" s="1" t="str">
        <f>+CONCAT(K188,"-",L188)</f>
        <v>#N/A</v>
      </c>
      <c r="N188" s="1" t="str">
        <f t="shared" si="4"/>
        <v>DRAW</v>
      </c>
      <c r="O188" s="1">
        <f t="shared" si="5"/>
        <v>0</v>
      </c>
    </row>
    <row r="189" ht="15.75" customHeight="1">
      <c r="A189" s="1">
        <v>9.0</v>
      </c>
      <c r="B189" s="24" t="s">
        <v>1435</v>
      </c>
      <c r="C189" s="22">
        <v>0.6770833333333334</v>
      </c>
      <c r="D189" s="67" t="s">
        <v>19</v>
      </c>
      <c r="E189" s="13" t="s">
        <v>30</v>
      </c>
      <c r="F189" s="1" t="s">
        <v>73</v>
      </c>
      <c r="G189" s="24" t="s">
        <v>59</v>
      </c>
      <c r="H189" s="25">
        <v>62876.0</v>
      </c>
      <c r="I189" s="26">
        <v>0.12569444444444444</v>
      </c>
      <c r="J189" s="17" t="s">
        <v>268</v>
      </c>
      <c r="K189" s="1">
        <f t="shared" si="1"/>
        <v>3</v>
      </c>
      <c r="L189" s="1">
        <f t="shared" si="2"/>
        <v>1</v>
      </c>
      <c r="M189" s="1" t="str">
        <f>+CONCAT(K189,L189)</f>
        <v>31</v>
      </c>
      <c r="N189" s="1" t="str">
        <f t="shared" si="4"/>
        <v>LOSS</v>
      </c>
      <c r="O189" s="1">
        <f t="shared" si="5"/>
        <v>-1</v>
      </c>
    </row>
    <row r="190" ht="15.75" customHeight="1">
      <c r="A190" s="1">
        <v>16.0</v>
      </c>
      <c r="B190" s="24" t="s">
        <v>1436</v>
      </c>
      <c r="C190" s="22">
        <v>0.8645833333333334</v>
      </c>
      <c r="D190" s="67" t="s">
        <v>19</v>
      </c>
      <c r="E190" s="13" t="s">
        <v>30</v>
      </c>
      <c r="F190" s="1" t="s">
        <v>526</v>
      </c>
      <c r="G190" s="24" t="s">
        <v>418</v>
      </c>
      <c r="H190" s="25">
        <v>23736.0</v>
      </c>
      <c r="I190" s="26">
        <v>0.003472222222222222</v>
      </c>
      <c r="J190" s="1" t="s">
        <v>500</v>
      </c>
      <c r="K190" s="1">
        <f t="shared" si="1"/>
        <v>0</v>
      </c>
      <c r="L190" s="1">
        <f t="shared" si="2"/>
        <v>5</v>
      </c>
      <c r="M190" s="1" t="str">
        <f t="shared" ref="M190:M191" si="45">+CONCAT(K190,"-",L190)</f>
        <v>#N/A</v>
      </c>
      <c r="N190" s="1" t="str">
        <f t="shared" si="4"/>
        <v>WIN</v>
      </c>
      <c r="O190" s="1">
        <f t="shared" si="5"/>
        <v>1</v>
      </c>
    </row>
    <row r="191" ht="15.75" customHeight="1">
      <c r="A191" s="1">
        <v>28.0</v>
      </c>
      <c r="B191" s="24" t="s">
        <v>1437</v>
      </c>
      <c r="C191" s="22">
        <v>0.8645833333333334</v>
      </c>
      <c r="D191" s="67" t="s">
        <v>19</v>
      </c>
      <c r="E191" s="13" t="s">
        <v>30</v>
      </c>
      <c r="F191" s="1" t="s">
        <v>546</v>
      </c>
      <c r="G191" s="24" t="s">
        <v>483</v>
      </c>
      <c r="H191" s="25">
        <v>54172.0</v>
      </c>
      <c r="I191" s="26">
        <v>0.044444444444444446</v>
      </c>
      <c r="J191" s="1" t="s">
        <v>500</v>
      </c>
      <c r="K191" s="1">
        <f t="shared" si="1"/>
        <v>1</v>
      </c>
      <c r="L191" s="1">
        <f t="shared" si="2"/>
        <v>4</v>
      </c>
      <c r="M191" s="1" t="str">
        <f t="shared" si="45"/>
        <v>#N/A</v>
      </c>
      <c r="N191" s="1" t="str">
        <f t="shared" si="4"/>
        <v>WIN</v>
      </c>
      <c r="O191" s="1">
        <f t="shared" si="5"/>
        <v>1</v>
      </c>
    </row>
    <row r="192" ht="15.75" customHeight="1">
      <c r="A192" s="1">
        <v>29.0</v>
      </c>
      <c r="B192" s="24" t="s">
        <v>1438</v>
      </c>
      <c r="C192" s="22">
        <v>0.875</v>
      </c>
      <c r="D192" s="67" t="s">
        <v>19</v>
      </c>
      <c r="E192" s="13" t="s">
        <v>87</v>
      </c>
      <c r="F192" s="1" t="s">
        <v>227</v>
      </c>
      <c r="G192" s="24" t="s">
        <v>59</v>
      </c>
      <c r="H192" s="25">
        <v>68253.0</v>
      </c>
      <c r="I192" s="26">
        <v>0.0020833333333333333</v>
      </c>
      <c r="J192" s="17" t="s">
        <v>175</v>
      </c>
      <c r="K192" s="1">
        <f t="shared" si="1"/>
        <v>0</v>
      </c>
      <c r="L192" s="1">
        <f t="shared" si="2"/>
        <v>3</v>
      </c>
      <c r="M192" s="1" t="str">
        <f>+CONCAT(K192,L192)</f>
        <v>03</v>
      </c>
      <c r="N192" s="1" t="str">
        <f t="shared" si="4"/>
        <v>WIN</v>
      </c>
      <c r="O192" s="1">
        <f t="shared" si="5"/>
        <v>1</v>
      </c>
    </row>
    <row r="193" ht="15.75" customHeight="1">
      <c r="A193" s="1">
        <v>9.0</v>
      </c>
      <c r="B193" s="24" t="s">
        <v>1439</v>
      </c>
      <c r="C193" s="22">
        <v>0.875</v>
      </c>
      <c r="D193" s="67" t="s">
        <v>24</v>
      </c>
      <c r="E193" s="13" t="s">
        <v>365</v>
      </c>
      <c r="F193" s="1" t="s">
        <v>369</v>
      </c>
      <c r="G193" s="24" t="s">
        <v>370</v>
      </c>
      <c r="H193" s="25">
        <v>47317.0</v>
      </c>
      <c r="I193" s="26">
        <v>0.12569444444444444</v>
      </c>
      <c r="J193" s="17" t="s">
        <v>354</v>
      </c>
      <c r="K193" s="1">
        <f t="shared" si="1"/>
        <v>3</v>
      </c>
      <c r="L193" s="1">
        <f t="shared" si="2"/>
        <v>1</v>
      </c>
      <c r="M193" s="1" t="str">
        <f t="shared" ref="M193:M195" si="46">+CONCAT(K193,"-",L193)</f>
        <v>#N/A</v>
      </c>
      <c r="N193" s="1" t="str">
        <f t="shared" si="4"/>
        <v>WIN</v>
      </c>
      <c r="O193" s="1">
        <f t="shared" si="5"/>
        <v>1</v>
      </c>
    </row>
    <row r="194" ht="15.75" customHeight="1">
      <c r="A194" s="1">
        <v>16.0</v>
      </c>
      <c r="B194" s="24" t="s">
        <v>1440</v>
      </c>
      <c r="C194" s="22">
        <v>0.8645833333333334</v>
      </c>
      <c r="D194" s="67" t="s">
        <v>24</v>
      </c>
      <c r="E194" s="13" t="s">
        <v>30</v>
      </c>
      <c r="F194" s="1" t="s">
        <v>617</v>
      </c>
      <c r="G194" s="24" t="s">
        <v>59</v>
      </c>
      <c r="H194" s="25">
        <v>53607.0</v>
      </c>
      <c r="I194" s="26">
        <v>0.16666666666666666</v>
      </c>
      <c r="J194" s="1" t="s">
        <v>591</v>
      </c>
      <c r="K194" s="1">
        <f t="shared" si="1"/>
        <v>4</v>
      </c>
      <c r="L194" s="1">
        <f t="shared" si="2"/>
        <v>0</v>
      </c>
      <c r="M194" s="1" t="str">
        <f t="shared" si="46"/>
        <v>#N/A</v>
      </c>
      <c r="N194" s="1" t="str">
        <f t="shared" si="4"/>
        <v>WIN</v>
      </c>
      <c r="O194" s="1">
        <f t="shared" si="5"/>
        <v>1</v>
      </c>
    </row>
    <row r="195" ht="15.75" customHeight="1">
      <c r="A195" s="1">
        <v>29.0</v>
      </c>
      <c r="B195" s="24" t="s">
        <v>1441</v>
      </c>
      <c r="C195" s="22">
        <v>0.6770833333333334</v>
      </c>
      <c r="D195" s="67" t="s">
        <v>24</v>
      </c>
      <c r="E195" s="13" t="s">
        <v>30</v>
      </c>
      <c r="F195" s="1" t="s">
        <v>55</v>
      </c>
      <c r="G195" s="24" t="s">
        <v>483</v>
      </c>
      <c r="H195" s="25">
        <v>84053.0</v>
      </c>
      <c r="I195" s="26">
        <v>0.08333333333333333</v>
      </c>
      <c r="J195" s="1" t="s">
        <v>591</v>
      </c>
      <c r="K195" s="1">
        <f t="shared" si="1"/>
        <v>2</v>
      </c>
      <c r="L195" s="1">
        <f t="shared" si="2"/>
        <v>0</v>
      </c>
      <c r="M195" s="1" t="str">
        <f t="shared" si="46"/>
        <v>#N/A</v>
      </c>
      <c r="N195" s="1" t="str">
        <f t="shared" si="4"/>
        <v>WIN</v>
      </c>
      <c r="O195" s="1">
        <f t="shared" si="5"/>
        <v>1</v>
      </c>
    </row>
    <row r="196" ht="15.75" customHeight="1">
      <c r="A196" s="1">
        <v>37.0</v>
      </c>
      <c r="B196" s="24" t="s">
        <v>1442</v>
      </c>
      <c r="C196" s="22">
        <v>0.7916666666666666</v>
      </c>
      <c r="D196" s="67" t="s">
        <v>24</v>
      </c>
      <c r="E196" s="13" t="s">
        <v>30</v>
      </c>
      <c r="F196" s="1" t="s">
        <v>124</v>
      </c>
      <c r="G196" s="24" t="s">
        <v>21</v>
      </c>
      <c r="H196" s="25">
        <v>49558.0</v>
      </c>
      <c r="I196" s="26">
        <v>0.08541666666666667</v>
      </c>
      <c r="J196" s="17" t="s">
        <v>53</v>
      </c>
      <c r="K196" s="1">
        <f t="shared" si="1"/>
        <v>2</v>
      </c>
      <c r="L196" s="1">
        <f t="shared" si="2"/>
        <v>3</v>
      </c>
      <c r="M196" s="1" t="str">
        <f>+CONCAT(K196,L196)</f>
        <v>23</v>
      </c>
      <c r="N196" s="1" t="str">
        <f t="shared" si="4"/>
        <v>LOSS</v>
      </c>
      <c r="O196" s="1">
        <f t="shared" si="5"/>
        <v>-1</v>
      </c>
    </row>
    <row r="197" ht="15.75" customHeight="1">
      <c r="A197" s="1">
        <v>20.0</v>
      </c>
      <c r="B197" s="24" t="s">
        <v>1443</v>
      </c>
      <c r="C197" s="22">
        <v>0.875</v>
      </c>
      <c r="D197" s="67" t="s">
        <v>24</v>
      </c>
      <c r="E197" s="13" t="s">
        <v>30</v>
      </c>
      <c r="F197" s="1" t="s">
        <v>470</v>
      </c>
      <c r="G197" s="24" t="s">
        <v>59</v>
      </c>
      <c r="H197" s="25">
        <v>65444.0</v>
      </c>
      <c r="I197" s="26">
        <v>0.041666666666666664</v>
      </c>
      <c r="J197" s="1" t="s">
        <v>437</v>
      </c>
      <c r="K197" s="1">
        <f t="shared" si="1"/>
        <v>1</v>
      </c>
      <c r="L197" s="1">
        <f t="shared" si="2"/>
        <v>0</v>
      </c>
      <c r="M197" s="1" t="str">
        <f t="shared" ref="M197:M200" si="47">+CONCAT(K197,"-",L197)</f>
        <v>#N/A</v>
      </c>
      <c r="N197" s="1" t="str">
        <f t="shared" si="4"/>
        <v>WIN</v>
      </c>
      <c r="O197" s="1">
        <f t="shared" si="5"/>
        <v>1</v>
      </c>
    </row>
    <row r="198" ht="15.75" customHeight="1">
      <c r="A198" s="1">
        <v>22.0</v>
      </c>
      <c r="B198" s="24" t="s">
        <v>1444</v>
      </c>
      <c r="C198" s="22">
        <v>0.875</v>
      </c>
      <c r="D198" s="67" t="s">
        <v>24</v>
      </c>
      <c r="E198" s="13" t="s">
        <v>30</v>
      </c>
      <c r="F198" s="1" t="s">
        <v>305</v>
      </c>
      <c r="G198" s="24" t="s">
        <v>59</v>
      </c>
      <c r="H198" s="25">
        <v>72010.0</v>
      </c>
      <c r="I198" s="26">
        <v>0.08333333333333333</v>
      </c>
      <c r="J198" s="17" t="s">
        <v>268</v>
      </c>
      <c r="K198" s="1">
        <f t="shared" si="1"/>
        <v>2</v>
      </c>
      <c r="L198" s="1">
        <f t="shared" si="2"/>
        <v>0</v>
      </c>
      <c r="M198" s="1" t="str">
        <f t="shared" si="47"/>
        <v>#N/A</v>
      </c>
      <c r="N198" s="1" t="str">
        <f t="shared" si="4"/>
        <v>WIN</v>
      </c>
      <c r="O198" s="1">
        <f t="shared" si="5"/>
        <v>1</v>
      </c>
    </row>
    <row r="199" ht="15.75" customHeight="1">
      <c r="A199" s="1">
        <v>26.0</v>
      </c>
      <c r="B199" s="24" t="s">
        <v>1445</v>
      </c>
      <c r="C199" s="22">
        <v>0.875</v>
      </c>
      <c r="D199" s="67" t="s">
        <v>24</v>
      </c>
      <c r="E199" s="13" t="s">
        <v>30</v>
      </c>
      <c r="F199" s="1" t="s">
        <v>73</v>
      </c>
      <c r="G199" s="24" t="s">
        <v>59</v>
      </c>
      <c r="H199" s="25">
        <v>95745.0</v>
      </c>
      <c r="I199" s="26">
        <v>0.08402777777777778</v>
      </c>
      <c r="J199" s="17" t="s">
        <v>268</v>
      </c>
      <c r="K199" s="1">
        <f t="shared" si="1"/>
        <v>2</v>
      </c>
      <c r="L199" s="1">
        <f t="shared" si="2"/>
        <v>1</v>
      </c>
      <c r="M199" s="1" t="str">
        <f t="shared" si="47"/>
        <v>#N/A</v>
      </c>
      <c r="N199" s="1" t="str">
        <f t="shared" si="4"/>
        <v>WIN</v>
      </c>
      <c r="O199" s="1">
        <f t="shared" si="5"/>
        <v>1</v>
      </c>
    </row>
    <row r="200" ht="15.75" customHeight="1">
      <c r="A200" s="1">
        <v>38.0</v>
      </c>
      <c r="B200" s="24" t="s">
        <v>1446</v>
      </c>
      <c r="C200" s="22">
        <v>0.6770833333333334</v>
      </c>
      <c r="D200" s="67" t="s">
        <v>19</v>
      </c>
      <c r="E200" s="13" t="s">
        <v>30</v>
      </c>
      <c r="F200" s="1" t="s">
        <v>532</v>
      </c>
      <c r="G200" s="24" t="s">
        <v>59</v>
      </c>
      <c r="H200" s="25">
        <v>5145.0</v>
      </c>
      <c r="I200" s="26">
        <v>0.08472222222222223</v>
      </c>
      <c r="J200" s="1" t="s">
        <v>500</v>
      </c>
      <c r="K200" s="1">
        <f t="shared" si="1"/>
        <v>2</v>
      </c>
      <c r="L200" s="1">
        <f t="shared" si="2"/>
        <v>2</v>
      </c>
      <c r="M200" s="1" t="str">
        <f t="shared" si="47"/>
        <v>#N/A</v>
      </c>
      <c r="N200" s="1" t="str">
        <f t="shared" si="4"/>
        <v>DRAW</v>
      </c>
      <c r="O200" s="1">
        <f t="shared" si="5"/>
        <v>0</v>
      </c>
    </row>
    <row r="201" ht="15.75" customHeight="1">
      <c r="A201" s="1">
        <v>37.0</v>
      </c>
      <c r="B201" s="24" t="s">
        <v>1447</v>
      </c>
      <c r="C201" s="22">
        <v>0.7916666666666666</v>
      </c>
      <c r="D201" s="67" t="s">
        <v>24</v>
      </c>
      <c r="E201" s="13" t="s">
        <v>33</v>
      </c>
      <c r="F201" s="1" t="s">
        <v>242</v>
      </c>
      <c r="G201" s="24" t="s">
        <v>59</v>
      </c>
      <c r="H201" s="25">
        <v>35823.0</v>
      </c>
      <c r="I201" s="26">
        <v>0.125</v>
      </c>
      <c r="J201" s="17" t="s">
        <v>175</v>
      </c>
      <c r="K201" s="1">
        <f t="shared" si="1"/>
        <v>3</v>
      </c>
      <c r="L201" s="1">
        <f t="shared" si="2"/>
        <v>0</v>
      </c>
      <c r="M201" s="1" t="str">
        <f>+CONCAT(K201,L201)</f>
        <v>30</v>
      </c>
      <c r="N201" s="1" t="str">
        <f t="shared" si="4"/>
        <v>WIN</v>
      </c>
      <c r="O201" s="1">
        <f t="shared" si="5"/>
        <v>1</v>
      </c>
    </row>
    <row r="202" ht="15.75" customHeight="1">
      <c r="A202" s="1">
        <v>20.0</v>
      </c>
      <c r="B202" s="24" t="s">
        <v>1448</v>
      </c>
      <c r="C202" s="22">
        <v>0.8645833333333334</v>
      </c>
      <c r="D202" s="67" t="s">
        <v>24</v>
      </c>
      <c r="E202" s="13" t="s">
        <v>30</v>
      </c>
      <c r="F202" s="1" t="s">
        <v>534</v>
      </c>
      <c r="G202" s="24" t="s">
        <v>59</v>
      </c>
      <c r="H202" s="25">
        <v>50670.0</v>
      </c>
      <c r="I202" s="26">
        <v>0.12569444444444444</v>
      </c>
      <c r="J202" s="1" t="s">
        <v>500</v>
      </c>
      <c r="K202" s="1">
        <f t="shared" si="1"/>
        <v>3</v>
      </c>
      <c r="L202" s="1">
        <f t="shared" si="2"/>
        <v>1</v>
      </c>
      <c r="M202" s="1" t="str">
        <f t="shared" ref="M202:M206" si="48">+CONCAT(K202,"-",L202)</f>
        <v>#N/A</v>
      </c>
      <c r="N202" s="1" t="str">
        <f t="shared" si="4"/>
        <v>WIN</v>
      </c>
      <c r="O202" s="1">
        <f t="shared" si="5"/>
        <v>1</v>
      </c>
    </row>
    <row r="203" ht="15.75" customHeight="1">
      <c r="A203" s="1">
        <v>25.0</v>
      </c>
      <c r="B203" s="24" t="s">
        <v>1449</v>
      </c>
      <c r="C203" s="22">
        <v>0.6770833333333334</v>
      </c>
      <c r="D203" s="67" t="s">
        <v>19</v>
      </c>
      <c r="E203" s="13" t="s">
        <v>272</v>
      </c>
      <c r="F203" s="1" t="s">
        <v>52</v>
      </c>
      <c r="G203" s="24" t="s">
        <v>59</v>
      </c>
      <c r="H203" s="25">
        <v>38315.0</v>
      </c>
      <c r="I203" s="26">
        <v>0.044444444444444446</v>
      </c>
      <c r="J203" s="17" t="s">
        <v>354</v>
      </c>
      <c r="K203" s="1">
        <f t="shared" si="1"/>
        <v>1</v>
      </c>
      <c r="L203" s="1">
        <f t="shared" si="2"/>
        <v>4</v>
      </c>
      <c r="M203" s="1" t="str">
        <f t="shared" si="48"/>
        <v>#N/A</v>
      </c>
      <c r="N203" s="1" t="str">
        <f t="shared" si="4"/>
        <v>WIN</v>
      </c>
      <c r="O203" s="1">
        <f t="shared" si="5"/>
        <v>1</v>
      </c>
    </row>
    <row r="204" ht="15.75" customHeight="1">
      <c r="A204" s="1">
        <v>29.0</v>
      </c>
      <c r="B204" s="24" t="s">
        <v>1450</v>
      </c>
      <c r="C204" s="22">
        <v>0.875</v>
      </c>
      <c r="D204" s="67" t="s">
        <v>19</v>
      </c>
      <c r="E204" s="13" t="s">
        <v>87</v>
      </c>
      <c r="F204" s="1" t="s">
        <v>233</v>
      </c>
      <c r="G204" s="24" t="s">
        <v>59</v>
      </c>
      <c r="H204" s="25">
        <v>60017.0</v>
      </c>
      <c r="I204" s="26">
        <v>0.002777777777777778</v>
      </c>
      <c r="J204" s="17" t="s">
        <v>354</v>
      </c>
      <c r="K204" s="1">
        <f t="shared" si="1"/>
        <v>0</v>
      </c>
      <c r="L204" s="1">
        <f t="shared" si="2"/>
        <v>4</v>
      </c>
      <c r="M204" s="1" t="str">
        <f t="shared" si="48"/>
        <v>#N/A</v>
      </c>
      <c r="N204" s="1" t="str">
        <f t="shared" si="4"/>
        <v>WIN</v>
      </c>
      <c r="O204" s="1">
        <f t="shared" si="5"/>
        <v>1</v>
      </c>
    </row>
    <row r="205" ht="15.75" customHeight="1">
      <c r="A205" s="1">
        <v>38.0</v>
      </c>
      <c r="B205" s="24" t="s">
        <v>1451</v>
      </c>
      <c r="C205" s="22">
        <v>0.8645833333333334</v>
      </c>
      <c r="D205" s="67" t="s">
        <v>24</v>
      </c>
      <c r="E205" s="13" t="s">
        <v>30</v>
      </c>
      <c r="F205" s="1" t="s">
        <v>506</v>
      </c>
      <c r="G205" s="24" t="s">
        <v>59</v>
      </c>
      <c r="H205" s="25">
        <v>84168.0</v>
      </c>
      <c r="I205" s="26">
        <v>0.041666666666666664</v>
      </c>
      <c r="J205" s="1" t="s">
        <v>591</v>
      </c>
      <c r="K205" s="1">
        <f t="shared" si="1"/>
        <v>1</v>
      </c>
      <c r="L205" s="1">
        <f t="shared" si="2"/>
        <v>0</v>
      </c>
      <c r="M205" s="1" t="str">
        <f t="shared" si="48"/>
        <v>#N/A</v>
      </c>
      <c r="N205" s="1" t="str">
        <f t="shared" si="4"/>
        <v>WIN</v>
      </c>
      <c r="O205" s="1">
        <f t="shared" si="5"/>
        <v>1</v>
      </c>
    </row>
    <row r="206" ht="15.75" customHeight="1">
      <c r="A206" s="1">
        <v>1.0</v>
      </c>
      <c r="B206" s="24" t="s">
        <v>1452</v>
      </c>
      <c r="C206" s="22">
        <v>0.84375</v>
      </c>
      <c r="D206" s="67" t="s">
        <v>24</v>
      </c>
      <c r="E206" s="13" t="s">
        <v>30</v>
      </c>
      <c r="F206" s="1" t="s">
        <v>111</v>
      </c>
      <c r="G206" s="24" t="s">
        <v>59</v>
      </c>
      <c r="H206" s="25">
        <v>54560.0</v>
      </c>
      <c r="I206" s="26">
        <v>0.08333333333333333</v>
      </c>
      <c r="J206" s="1" t="s">
        <v>591</v>
      </c>
      <c r="K206" s="1">
        <f t="shared" si="1"/>
        <v>2</v>
      </c>
      <c r="L206" s="1">
        <f t="shared" si="2"/>
        <v>0</v>
      </c>
      <c r="M206" s="1" t="str">
        <f t="shared" si="48"/>
        <v>#N/A</v>
      </c>
      <c r="N206" s="1" t="str">
        <f t="shared" si="4"/>
        <v>WIN</v>
      </c>
      <c r="O206" s="1">
        <f t="shared" si="5"/>
        <v>1</v>
      </c>
    </row>
    <row r="207" ht="15.75" customHeight="1">
      <c r="A207" s="1">
        <v>2.0</v>
      </c>
      <c r="B207" s="24" t="s">
        <v>1453</v>
      </c>
      <c r="C207" s="22">
        <v>0.8125</v>
      </c>
      <c r="D207" s="67" t="s">
        <v>24</v>
      </c>
      <c r="E207" s="13" t="s">
        <v>177</v>
      </c>
      <c r="F207" s="1" t="s">
        <v>178</v>
      </c>
      <c r="G207" s="24" t="s">
        <v>179</v>
      </c>
      <c r="H207" s="25">
        <v>39603.0</v>
      </c>
      <c r="I207" s="26">
        <v>0.08333333333333333</v>
      </c>
      <c r="J207" s="17" t="s">
        <v>175</v>
      </c>
      <c r="K207" s="1">
        <f t="shared" si="1"/>
        <v>2</v>
      </c>
      <c r="L207" s="1">
        <f t="shared" si="2"/>
        <v>0</v>
      </c>
      <c r="M207" s="1" t="str">
        <f t="shared" ref="M207:M208" si="49">+CONCAT(K207,L207)</f>
        <v>20</v>
      </c>
      <c r="N207" s="1" t="str">
        <f t="shared" si="4"/>
        <v>WIN</v>
      </c>
      <c r="O207" s="1">
        <f t="shared" si="5"/>
        <v>1</v>
      </c>
    </row>
    <row r="208" ht="15.75" customHeight="1">
      <c r="A208" s="1">
        <v>10.0</v>
      </c>
      <c r="B208" s="24" t="s">
        <v>1454</v>
      </c>
      <c r="C208" s="22">
        <v>0.875</v>
      </c>
      <c r="D208" s="67" t="s">
        <v>24</v>
      </c>
      <c r="E208" s="13" t="s">
        <v>30</v>
      </c>
      <c r="F208" s="1" t="s">
        <v>71</v>
      </c>
      <c r="G208" s="24" t="s">
        <v>21</v>
      </c>
      <c r="H208" s="25">
        <v>47848.0</v>
      </c>
      <c r="I208" s="26">
        <v>0.20902777777777778</v>
      </c>
      <c r="J208" s="17" t="s">
        <v>53</v>
      </c>
      <c r="K208" s="1">
        <f t="shared" si="1"/>
        <v>5</v>
      </c>
      <c r="L208" s="1">
        <f t="shared" si="2"/>
        <v>1</v>
      </c>
      <c r="M208" s="1" t="str">
        <f t="shared" si="49"/>
        <v>51</v>
      </c>
      <c r="N208" s="1" t="str">
        <f t="shared" si="4"/>
        <v>WIN</v>
      </c>
      <c r="O208" s="1">
        <f t="shared" si="5"/>
        <v>1</v>
      </c>
    </row>
    <row r="209" ht="15.75" customHeight="1">
      <c r="A209" s="1">
        <v>20.0</v>
      </c>
      <c r="B209" s="24" t="s">
        <v>1455</v>
      </c>
      <c r="C209" s="22">
        <v>0.8645833333333334</v>
      </c>
      <c r="D209" s="67" t="s">
        <v>19</v>
      </c>
      <c r="E209" s="13" t="s">
        <v>30</v>
      </c>
      <c r="F209" s="1" t="s">
        <v>546</v>
      </c>
      <c r="G209" s="45">
        <v>37350.0</v>
      </c>
      <c r="H209" s="25">
        <v>53426.0</v>
      </c>
      <c r="I209" s="26">
        <v>0.003472222222222222</v>
      </c>
      <c r="J209" s="1" t="s">
        <v>591</v>
      </c>
      <c r="K209" s="1">
        <f t="shared" si="1"/>
        <v>0</v>
      </c>
      <c r="L209" s="1">
        <f t="shared" si="2"/>
        <v>5</v>
      </c>
      <c r="M209" s="1" t="str">
        <f>+CONCAT(K209,"-",L209)</f>
        <v>#N/A</v>
      </c>
      <c r="N209" s="1" t="str">
        <f t="shared" si="4"/>
        <v>WIN</v>
      </c>
      <c r="O209" s="1">
        <f t="shared" si="5"/>
        <v>1</v>
      </c>
    </row>
    <row r="210" ht="15.75" customHeight="1">
      <c r="A210" s="1">
        <v>21.0</v>
      </c>
      <c r="B210" s="24" t="s">
        <v>1456</v>
      </c>
      <c r="C210" s="22">
        <v>0.7708333333333334</v>
      </c>
      <c r="D210" s="67" t="s">
        <v>19</v>
      </c>
      <c r="E210" s="13" t="s">
        <v>87</v>
      </c>
      <c r="F210" s="1" t="s">
        <v>185</v>
      </c>
      <c r="G210" s="24" t="s">
        <v>59</v>
      </c>
      <c r="H210" s="25">
        <v>53288.0</v>
      </c>
      <c r="I210" s="26">
        <v>0.08611111111111111</v>
      </c>
      <c r="J210" s="17" t="s">
        <v>175</v>
      </c>
      <c r="K210" s="1">
        <f t="shared" si="1"/>
        <v>2</v>
      </c>
      <c r="L210" s="1">
        <f t="shared" si="2"/>
        <v>4</v>
      </c>
      <c r="M210" s="1" t="str">
        <f t="shared" ref="M210:M214" si="50">+CONCAT(K210,L210)</f>
        <v>24</v>
      </c>
      <c r="N210" s="1" t="str">
        <f t="shared" si="4"/>
        <v>WIN</v>
      </c>
      <c r="O210" s="1">
        <f t="shared" si="5"/>
        <v>1</v>
      </c>
    </row>
    <row r="211" ht="15.75" customHeight="1">
      <c r="A211" s="1">
        <v>32.0</v>
      </c>
      <c r="B211" s="24" t="s">
        <v>1457</v>
      </c>
      <c r="C211" s="22">
        <v>0.875</v>
      </c>
      <c r="D211" s="67" t="s">
        <v>19</v>
      </c>
      <c r="E211" s="13" t="s">
        <v>33</v>
      </c>
      <c r="F211" s="1" t="s">
        <v>233</v>
      </c>
      <c r="G211" s="24" t="s">
        <v>59</v>
      </c>
      <c r="H211" s="25">
        <v>77981.0</v>
      </c>
      <c r="I211" s="26">
        <v>0.12638888888888888</v>
      </c>
      <c r="J211" s="17" t="s">
        <v>175</v>
      </c>
      <c r="K211" s="1">
        <f t="shared" si="1"/>
        <v>3</v>
      </c>
      <c r="L211" s="1">
        <f t="shared" si="2"/>
        <v>2</v>
      </c>
      <c r="M211" s="1" t="str">
        <f t="shared" si="50"/>
        <v>32</v>
      </c>
      <c r="N211" s="1" t="str">
        <f t="shared" si="4"/>
        <v>LOSS</v>
      </c>
      <c r="O211" s="1">
        <f t="shared" si="5"/>
        <v>-1</v>
      </c>
    </row>
    <row r="212" ht="15.75" customHeight="1">
      <c r="A212" s="1">
        <v>2.0</v>
      </c>
      <c r="B212" s="24" t="s">
        <v>1458</v>
      </c>
      <c r="C212" s="22">
        <v>0.9166666666666666</v>
      </c>
      <c r="D212" s="67" t="s">
        <v>19</v>
      </c>
      <c r="E212" s="13" t="s">
        <v>270</v>
      </c>
      <c r="F212" s="1" t="s">
        <v>239</v>
      </c>
      <c r="G212" s="24" t="s">
        <v>59</v>
      </c>
      <c r="H212" s="25">
        <v>36201.0</v>
      </c>
      <c r="I212" s="26">
        <v>0.044444444444444446</v>
      </c>
      <c r="J212" s="17" t="s">
        <v>268</v>
      </c>
      <c r="K212" s="1">
        <f t="shared" si="1"/>
        <v>1</v>
      </c>
      <c r="L212" s="1">
        <f t="shared" si="2"/>
        <v>4</v>
      </c>
      <c r="M212" s="1" t="str">
        <f t="shared" si="50"/>
        <v>14</v>
      </c>
      <c r="N212" s="1" t="str">
        <f t="shared" si="4"/>
        <v>WIN</v>
      </c>
      <c r="O212" s="1">
        <f t="shared" si="5"/>
        <v>1</v>
      </c>
    </row>
    <row r="213" ht="15.75" customHeight="1">
      <c r="A213" s="1">
        <v>5.0</v>
      </c>
      <c r="B213" s="24" t="s">
        <v>1459</v>
      </c>
      <c r="C213" s="22">
        <v>0.875</v>
      </c>
      <c r="D213" s="67" t="s">
        <v>24</v>
      </c>
      <c r="E213" s="13" t="s">
        <v>33</v>
      </c>
      <c r="F213" s="1" t="s">
        <v>46</v>
      </c>
      <c r="G213" s="24" t="s">
        <v>21</v>
      </c>
      <c r="H213" s="25">
        <v>5711.0</v>
      </c>
      <c r="I213" s="26">
        <v>0.125</v>
      </c>
      <c r="J213" s="17" t="s">
        <v>22</v>
      </c>
      <c r="K213" s="1">
        <f t="shared" si="1"/>
        <v>3</v>
      </c>
      <c r="L213" s="1">
        <f t="shared" si="2"/>
        <v>0</v>
      </c>
      <c r="M213" s="1" t="str">
        <f t="shared" si="50"/>
        <v>30</v>
      </c>
      <c r="N213" s="1" t="str">
        <f t="shared" si="4"/>
        <v>WIN</v>
      </c>
      <c r="O213" s="1">
        <f t="shared" si="5"/>
        <v>1</v>
      </c>
    </row>
    <row r="214" ht="15.75" customHeight="1">
      <c r="A214" s="1">
        <v>18.0</v>
      </c>
      <c r="B214" s="24" t="s">
        <v>1460</v>
      </c>
      <c r="C214" s="22">
        <v>0.7708333333333334</v>
      </c>
      <c r="D214" s="67" t="s">
        <v>24</v>
      </c>
      <c r="E214" s="13" t="s">
        <v>30</v>
      </c>
      <c r="F214" s="1" t="s">
        <v>92</v>
      </c>
      <c r="G214" s="24" t="s">
        <v>59</v>
      </c>
      <c r="H214" s="25">
        <v>79814.0</v>
      </c>
      <c r="I214" s="26">
        <v>0.041666666666666664</v>
      </c>
      <c r="J214" s="17" t="s">
        <v>268</v>
      </c>
      <c r="K214" s="1">
        <f t="shared" si="1"/>
        <v>1</v>
      </c>
      <c r="L214" s="1">
        <f t="shared" si="2"/>
        <v>0</v>
      </c>
      <c r="M214" s="1" t="str">
        <f t="shared" si="50"/>
        <v>10</v>
      </c>
      <c r="N214" s="1" t="str">
        <f t="shared" si="4"/>
        <v>WIN</v>
      </c>
      <c r="O214" s="1">
        <f t="shared" si="5"/>
        <v>1</v>
      </c>
    </row>
    <row r="215" ht="15.75" customHeight="1">
      <c r="A215" s="1">
        <v>38.0</v>
      </c>
      <c r="B215" s="24" t="s">
        <v>1461</v>
      </c>
      <c r="C215" s="22">
        <v>0.9166666666666666</v>
      </c>
      <c r="D215" s="67" t="s">
        <v>24</v>
      </c>
      <c r="E215" s="13" t="s">
        <v>33</v>
      </c>
      <c r="F215" s="1" t="s">
        <v>286</v>
      </c>
      <c r="G215" s="24" t="s">
        <v>59</v>
      </c>
      <c r="H215" s="25">
        <v>54850.0</v>
      </c>
      <c r="I215" s="26">
        <v>0.001388888888888889</v>
      </c>
      <c r="J215" s="17" t="s">
        <v>354</v>
      </c>
      <c r="K215" s="1">
        <f t="shared" si="1"/>
        <v>0</v>
      </c>
      <c r="L215" s="1">
        <f t="shared" si="2"/>
        <v>2</v>
      </c>
      <c r="M215" s="1" t="str">
        <f>+CONCAT(K215,"-",L215)</f>
        <v>#N/A</v>
      </c>
      <c r="N215" s="1" t="str">
        <f t="shared" si="4"/>
        <v>LOSS</v>
      </c>
      <c r="O215" s="1">
        <f t="shared" si="5"/>
        <v>-1</v>
      </c>
    </row>
    <row r="216" ht="15.75" customHeight="1">
      <c r="A216" s="1">
        <v>6.0</v>
      </c>
      <c r="B216" s="24" t="s">
        <v>1462</v>
      </c>
      <c r="C216" s="22">
        <v>0.7708333333333334</v>
      </c>
      <c r="D216" s="67" t="s">
        <v>19</v>
      </c>
      <c r="E216" s="13" t="s">
        <v>30</v>
      </c>
      <c r="F216" s="1" t="s">
        <v>63</v>
      </c>
      <c r="G216" s="24" t="s">
        <v>59</v>
      </c>
      <c r="H216" s="25">
        <v>22048.0</v>
      </c>
      <c r="I216" s="26">
        <v>0.04513888888888889</v>
      </c>
      <c r="J216" s="17" t="s">
        <v>53</v>
      </c>
      <c r="K216" s="1">
        <f t="shared" si="1"/>
        <v>1</v>
      </c>
      <c r="L216" s="1">
        <f t="shared" si="2"/>
        <v>5</v>
      </c>
      <c r="M216" s="1" t="str">
        <f t="shared" ref="M216:M217" si="51">+CONCAT(K216,L216)</f>
        <v>15</v>
      </c>
      <c r="N216" s="1" t="str">
        <f t="shared" si="4"/>
        <v>WIN</v>
      </c>
      <c r="O216" s="1">
        <f t="shared" si="5"/>
        <v>1</v>
      </c>
    </row>
    <row r="217" ht="15.75" customHeight="1">
      <c r="A217" s="1">
        <v>10.0</v>
      </c>
      <c r="B217" s="24" t="s">
        <v>1463</v>
      </c>
      <c r="C217" s="22">
        <v>0.875</v>
      </c>
      <c r="D217" s="67" t="s">
        <v>24</v>
      </c>
      <c r="E217" s="13" t="s">
        <v>43</v>
      </c>
      <c r="F217" s="1" t="s">
        <v>195</v>
      </c>
      <c r="G217" s="24" t="s">
        <v>59</v>
      </c>
      <c r="H217" s="25">
        <v>38194.0</v>
      </c>
      <c r="I217" s="26">
        <v>0.041666666666666664</v>
      </c>
      <c r="J217" s="17" t="s">
        <v>175</v>
      </c>
      <c r="K217" s="1">
        <f t="shared" si="1"/>
        <v>1</v>
      </c>
      <c r="L217" s="1">
        <f t="shared" si="2"/>
        <v>0</v>
      </c>
      <c r="M217" s="1" t="str">
        <f t="shared" si="51"/>
        <v>10</v>
      </c>
      <c r="N217" s="1" t="str">
        <f t="shared" si="4"/>
        <v>WIN</v>
      </c>
      <c r="O217" s="1">
        <f t="shared" si="5"/>
        <v>1</v>
      </c>
    </row>
    <row r="218" ht="15.75" customHeight="1">
      <c r="A218" s="1">
        <v>22.0</v>
      </c>
      <c r="B218" s="24" t="s">
        <v>1464</v>
      </c>
      <c r="C218" s="22">
        <v>0.875</v>
      </c>
      <c r="D218" s="67" t="s">
        <v>19</v>
      </c>
      <c r="E218" s="13" t="s">
        <v>381</v>
      </c>
      <c r="F218" s="1" t="s">
        <v>394</v>
      </c>
      <c r="G218" s="24" t="s">
        <v>59</v>
      </c>
      <c r="H218" s="25">
        <v>14056.0</v>
      </c>
      <c r="I218" s="26">
        <v>6.944444444444445E-4</v>
      </c>
      <c r="J218" s="17" t="s">
        <v>354</v>
      </c>
      <c r="K218" s="1">
        <f t="shared" si="1"/>
        <v>0</v>
      </c>
      <c r="L218" s="1">
        <f t="shared" si="2"/>
        <v>1</v>
      </c>
      <c r="M218" s="1" t="str">
        <f t="shared" ref="M218:M220" si="52">+CONCAT(K218,"-",L218)</f>
        <v>#N/A</v>
      </c>
      <c r="N218" s="1" t="str">
        <f t="shared" si="4"/>
        <v>WIN</v>
      </c>
      <c r="O218" s="1">
        <f t="shared" si="5"/>
        <v>1</v>
      </c>
    </row>
    <row r="219" ht="15.75" customHeight="1">
      <c r="A219" s="1">
        <v>30.0</v>
      </c>
      <c r="B219" s="24" t="s">
        <v>1465</v>
      </c>
      <c r="C219" s="22">
        <v>0.6770833333333334</v>
      </c>
      <c r="D219" s="67" t="s">
        <v>24</v>
      </c>
      <c r="E219" s="13" t="s">
        <v>30</v>
      </c>
      <c r="F219" s="1" t="s">
        <v>107</v>
      </c>
      <c r="G219" s="24" t="s">
        <v>59</v>
      </c>
      <c r="H219" s="25">
        <v>80965.0</v>
      </c>
      <c r="I219" s="26">
        <v>0.041666666666666664</v>
      </c>
      <c r="J219" s="17" t="s">
        <v>268</v>
      </c>
      <c r="K219" s="1">
        <f t="shared" si="1"/>
        <v>1</v>
      </c>
      <c r="L219" s="1">
        <f t="shared" si="2"/>
        <v>0</v>
      </c>
      <c r="M219" s="1" t="str">
        <f t="shared" si="52"/>
        <v>#N/A</v>
      </c>
      <c r="N219" s="1" t="str">
        <f t="shared" si="4"/>
        <v>WIN</v>
      </c>
      <c r="O219" s="1">
        <f t="shared" si="5"/>
        <v>1</v>
      </c>
    </row>
    <row r="220" ht="15.75" customHeight="1">
      <c r="A220" s="1">
        <v>5.0</v>
      </c>
      <c r="B220" s="24" t="s">
        <v>1466</v>
      </c>
      <c r="C220" s="22">
        <v>0.8645833333333334</v>
      </c>
      <c r="D220" s="67" t="s">
        <v>24</v>
      </c>
      <c r="E220" s="13" t="s">
        <v>30</v>
      </c>
      <c r="F220" s="1" t="s">
        <v>237</v>
      </c>
      <c r="G220" s="24" t="s">
        <v>59</v>
      </c>
      <c r="H220" s="25">
        <v>76055.0</v>
      </c>
      <c r="I220" s="26">
        <v>0.08472222222222223</v>
      </c>
      <c r="J220" s="1" t="s">
        <v>500</v>
      </c>
      <c r="K220" s="1">
        <f t="shared" si="1"/>
        <v>2</v>
      </c>
      <c r="L220" s="1">
        <f t="shared" si="2"/>
        <v>2</v>
      </c>
      <c r="M220" s="1" t="str">
        <f t="shared" si="52"/>
        <v>#N/A</v>
      </c>
      <c r="N220" s="1" t="str">
        <f t="shared" si="4"/>
        <v>DRAW</v>
      </c>
      <c r="O220" s="1">
        <f t="shared" si="5"/>
        <v>0</v>
      </c>
    </row>
    <row r="221" ht="15.75" customHeight="1">
      <c r="A221" s="1">
        <v>11.0</v>
      </c>
      <c r="B221" s="24" t="s">
        <v>1467</v>
      </c>
      <c r="C221" s="22">
        <v>0.875</v>
      </c>
      <c r="D221" s="67" t="s">
        <v>24</v>
      </c>
      <c r="E221" s="13" t="s">
        <v>33</v>
      </c>
      <c r="F221" s="1" t="s">
        <v>288</v>
      </c>
      <c r="G221" s="24" t="s">
        <v>59</v>
      </c>
      <c r="H221" s="25">
        <v>84817.0</v>
      </c>
      <c r="I221" s="26">
        <v>0.16666666666666666</v>
      </c>
      <c r="J221" s="17" t="s">
        <v>268</v>
      </c>
      <c r="K221" s="1">
        <f t="shared" si="1"/>
        <v>4</v>
      </c>
      <c r="L221" s="1">
        <f t="shared" si="2"/>
        <v>0</v>
      </c>
      <c r="M221" s="1" t="str">
        <f>+CONCAT(K221,L221)</f>
        <v>40</v>
      </c>
      <c r="N221" s="1" t="str">
        <f t="shared" si="4"/>
        <v>WIN</v>
      </c>
      <c r="O221" s="1">
        <f t="shared" si="5"/>
        <v>1</v>
      </c>
    </row>
    <row r="222" ht="15.75" customHeight="1">
      <c r="A222" s="1">
        <v>21.0</v>
      </c>
      <c r="B222" s="24" t="s">
        <v>1468</v>
      </c>
      <c r="C222" s="22">
        <v>0.875</v>
      </c>
      <c r="D222" s="67" t="s">
        <v>24</v>
      </c>
      <c r="E222" s="13" t="s">
        <v>181</v>
      </c>
      <c r="F222" s="1" t="s">
        <v>373</v>
      </c>
      <c r="G222" s="24" t="s">
        <v>59</v>
      </c>
      <c r="H222" s="25">
        <v>57023.0</v>
      </c>
      <c r="I222" s="26">
        <v>6.944444444444445E-4</v>
      </c>
      <c r="J222" s="17" t="s">
        <v>354</v>
      </c>
      <c r="K222" s="1">
        <f t="shared" si="1"/>
        <v>0</v>
      </c>
      <c r="L222" s="1">
        <f t="shared" si="2"/>
        <v>1</v>
      </c>
      <c r="M222" s="1" t="str">
        <f t="shared" ref="M222:M223" si="53">+CONCAT(K222,"-",L222)</f>
        <v>#N/A</v>
      </c>
      <c r="N222" s="1" t="str">
        <f t="shared" si="4"/>
        <v>LOSS</v>
      </c>
      <c r="O222" s="1">
        <f t="shared" si="5"/>
        <v>-1</v>
      </c>
    </row>
    <row r="223" ht="15.75" customHeight="1">
      <c r="A223" s="1">
        <v>10.0</v>
      </c>
      <c r="B223" s="24" t="s">
        <v>1469</v>
      </c>
      <c r="C223" s="22">
        <v>0.6770833333333334</v>
      </c>
      <c r="D223" s="67" t="s">
        <v>24</v>
      </c>
      <c r="E223" s="13" t="s">
        <v>181</v>
      </c>
      <c r="F223" s="1" t="s">
        <v>233</v>
      </c>
      <c r="G223" s="24" t="s">
        <v>59</v>
      </c>
      <c r="H223" s="25">
        <v>86422.0</v>
      </c>
      <c r="I223" s="26">
        <v>0.043055555555555555</v>
      </c>
      <c r="J223" s="17" t="s">
        <v>354</v>
      </c>
      <c r="K223" s="1">
        <f t="shared" si="1"/>
        <v>1</v>
      </c>
      <c r="L223" s="1">
        <f t="shared" si="2"/>
        <v>2</v>
      </c>
      <c r="M223" s="1" t="str">
        <f t="shared" si="53"/>
        <v>#N/A</v>
      </c>
      <c r="N223" s="1" t="str">
        <f t="shared" si="4"/>
        <v>LOSS</v>
      </c>
      <c r="O223" s="1">
        <f t="shared" si="5"/>
        <v>-1</v>
      </c>
    </row>
    <row r="224" ht="15.75" customHeight="1">
      <c r="A224" s="1">
        <v>38.0</v>
      </c>
      <c r="B224" s="24" t="s">
        <v>1470</v>
      </c>
      <c r="C224" s="22">
        <v>0.875</v>
      </c>
      <c r="D224" s="67" t="s">
        <v>19</v>
      </c>
      <c r="E224" s="13" t="s">
        <v>30</v>
      </c>
      <c r="F224" s="1" t="s">
        <v>126</v>
      </c>
      <c r="G224" s="24" t="s">
        <v>21</v>
      </c>
      <c r="H224" s="25">
        <v>50231.0</v>
      </c>
      <c r="I224" s="26">
        <v>0.0020833333333333333</v>
      </c>
      <c r="J224" s="17" t="s">
        <v>53</v>
      </c>
      <c r="K224" s="1">
        <f t="shared" si="1"/>
        <v>0</v>
      </c>
      <c r="L224" s="1">
        <f t="shared" si="2"/>
        <v>3</v>
      </c>
      <c r="M224" s="1" t="str">
        <f>+CONCAT(K224,L224)</f>
        <v>03</v>
      </c>
      <c r="N224" s="1" t="str">
        <f t="shared" si="4"/>
        <v>WIN</v>
      </c>
      <c r="O224" s="1">
        <f t="shared" si="5"/>
        <v>1</v>
      </c>
    </row>
    <row r="225" ht="15.75" customHeight="1">
      <c r="A225" s="1">
        <v>2.0</v>
      </c>
      <c r="B225" s="24" t="s">
        <v>1471</v>
      </c>
      <c r="C225" s="22">
        <v>0.875</v>
      </c>
      <c r="D225" s="67" t="s">
        <v>24</v>
      </c>
      <c r="E225" s="13" t="s">
        <v>439</v>
      </c>
      <c r="F225" s="1" t="s">
        <v>440</v>
      </c>
      <c r="G225" s="24" t="s">
        <v>59</v>
      </c>
      <c r="H225" s="25">
        <v>79159.0</v>
      </c>
      <c r="I225" s="26">
        <v>0.20972222222222223</v>
      </c>
      <c r="J225" s="1" t="s">
        <v>437</v>
      </c>
      <c r="K225" s="1">
        <f t="shared" si="1"/>
        <v>5</v>
      </c>
      <c r="L225" s="1">
        <f t="shared" si="2"/>
        <v>2</v>
      </c>
      <c r="M225" s="1" t="str">
        <f>+CONCAT(K225,"-",L225)</f>
        <v>#N/A</v>
      </c>
      <c r="N225" s="1" t="str">
        <f t="shared" si="4"/>
        <v>WIN</v>
      </c>
      <c r="O225" s="1">
        <f t="shared" si="5"/>
        <v>1</v>
      </c>
    </row>
    <row r="226" ht="15.75" customHeight="1">
      <c r="A226" s="1">
        <v>21.0</v>
      </c>
      <c r="B226" s="24" t="s">
        <v>1472</v>
      </c>
      <c r="C226" s="22">
        <v>0.875</v>
      </c>
      <c r="D226" s="67" t="s">
        <v>24</v>
      </c>
      <c r="E226" s="13" t="s">
        <v>87</v>
      </c>
      <c r="F226" s="1" t="s">
        <v>94</v>
      </c>
      <c r="G226" s="24" t="s">
        <v>21</v>
      </c>
      <c r="H226" s="25">
        <v>45312.0</v>
      </c>
      <c r="I226" s="26">
        <v>0.2923611111111111</v>
      </c>
      <c r="J226" s="17" t="s">
        <v>53</v>
      </c>
      <c r="K226" s="1">
        <f t="shared" si="1"/>
        <v>7</v>
      </c>
      <c r="L226" s="1">
        <f t="shared" si="2"/>
        <v>1</v>
      </c>
      <c r="M226" s="1" t="str">
        <f>+CONCAT(K226,L226)</f>
        <v>71</v>
      </c>
      <c r="N226" s="1" t="str">
        <f t="shared" si="4"/>
        <v>WIN</v>
      </c>
      <c r="O226" s="1">
        <f t="shared" si="5"/>
        <v>1</v>
      </c>
    </row>
    <row r="227" ht="15.75" customHeight="1">
      <c r="A227" s="1">
        <v>23.0</v>
      </c>
      <c r="B227" s="24" t="s">
        <v>1473</v>
      </c>
      <c r="C227" s="22">
        <v>0.7708333333333334</v>
      </c>
      <c r="D227" s="67" t="s">
        <v>19</v>
      </c>
      <c r="E227" s="13" t="s">
        <v>30</v>
      </c>
      <c r="F227" s="1" t="s">
        <v>307</v>
      </c>
      <c r="G227" s="24" t="s">
        <v>59</v>
      </c>
      <c r="H227" s="25">
        <v>15279.0</v>
      </c>
      <c r="I227" s="26">
        <v>0.041666666666666664</v>
      </c>
      <c r="J227" s="17" t="s">
        <v>268</v>
      </c>
      <c r="K227" s="1">
        <f t="shared" si="1"/>
        <v>1</v>
      </c>
      <c r="L227" s="1">
        <f t="shared" si="2"/>
        <v>0</v>
      </c>
      <c r="M227" s="1" t="str">
        <f>+CONCAT(K227,"-",L227)</f>
        <v>#N/A</v>
      </c>
      <c r="N227" s="1" t="str">
        <f t="shared" si="4"/>
        <v>LOSS</v>
      </c>
      <c r="O227" s="1">
        <f t="shared" si="5"/>
        <v>-1</v>
      </c>
    </row>
    <row r="228" ht="15.75" customHeight="1">
      <c r="A228" s="1">
        <v>38.0</v>
      </c>
      <c r="B228" s="24" t="s">
        <v>1474</v>
      </c>
      <c r="C228" s="22">
        <v>0.875</v>
      </c>
      <c r="D228" s="67" t="s">
        <v>19</v>
      </c>
      <c r="E228" s="13" t="s">
        <v>33</v>
      </c>
      <c r="F228" s="1" t="s">
        <v>244</v>
      </c>
      <c r="G228" s="24" t="s">
        <v>59</v>
      </c>
      <c r="H228" s="25">
        <v>34888.0</v>
      </c>
      <c r="I228" s="26">
        <v>0.043055555555555555</v>
      </c>
      <c r="J228" s="17" t="s">
        <v>175</v>
      </c>
      <c r="K228" s="1">
        <f t="shared" si="1"/>
        <v>1</v>
      </c>
      <c r="L228" s="1">
        <f t="shared" si="2"/>
        <v>2</v>
      </c>
      <c r="M228" s="1" t="str">
        <f>+CONCAT(K228,L228)</f>
        <v>12</v>
      </c>
      <c r="N228" s="1" t="str">
        <f t="shared" si="4"/>
        <v>WIN</v>
      </c>
      <c r="O228" s="1">
        <f t="shared" si="5"/>
        <v>1</v>
      </c>
    </row>
    <row r="229" ht="15.75" customHeight="1">
      <c r="A229" s="1">
        <v>7.0</v>
      </c>
      <c r="B229" s="24" t="s">
        <v>1475</v>
      </c>
      <c r="C229" s="22">
        <v>0.6770833333333334</v>
      </c>
      <c r="D229" s="67" t="s">
        <v>24</v>
      </c>
      <c r="E229" s="13" t="s">
        <v>365</v>
      </c>
      <c r="F229" s="1" t="s">
        <v>366</v>
      </c>
      <c r="G229" s="24" t="s">
        <v>21</v>
      </c>
      <c r="H229" s="25">
        <v>35334.0</v>
      </c>
      <c r="I229" s="26">
        <v>0.125</v>
      </c>
      <c r="J229" s="17" t="s">
        <v>354</v>
      </c>
      <c r="K229" s="1">
        <f t="shared" si="1"/>
        <v>3</v>
      </c>
      <c r="L229" s="1">
        <f t="shared" si="2"/>
        <v>0</v>
      </c>
      <c r="M229" s="1" t="str">
        <f>+CONCAT(K229,"-",L229)</f>
        <v>#N/A</v>
      </c>
      <c r="N229" s="1" t="str">
        <f t="shared" si="4"/>
        <v>WIN</v>
      </c>
      <c r="O229" s="1">
        <f t="shared" si="5"/>
        <v>1</v>
      </c>
    </row>
    <row r="230" ht="15.75" customHeight="1">
      <c r="A230" s="6">
        <v>10.0</v>
      </c>
      <c r="B230" s="14" t="s">
        <v>1476</v>
      </c>
      <c r="C230" s="11">
        <v>0.6770833333333334</v>
      </c>
      <c r="D230" s="66" t="s">
        <v>19</v>
      </c>
      <c r="E230" s="20" t="s">
        <v>33</v>
      </c>
      <c r="F230" s="6" t="s">
        <v>36</v>
      </c>
      <c r="G230" s="14" t="s">
        <v>21</v>
      </c>
      <c r="H230" s="15">
        <v>78107.0</v>
      </c>
      <c r="I230" s="16">
        <v>0.08402777777777778</v>
      </c>
      <c r="J230" s="17" t="s">
        <v>22</v>
      </c>
      <c r="K230" s="1">
        <f t="shared" si="1"/>
        <v>2</v>
      </c>
      <c r="L230" s="1">
        <f t="shared" si="2"/>
        <v>1</v>
      </c>
      <c r="M230" s="1" t="str">
        <f>+CONCAT(K230,L230)</f>
        <v>21</v>
      </c>
      <c r="N230" s="1" t="str">
        <f t="shared" si="4"/>
        <v>LOSS</v>
      </c>
      <c r="O230" s="1">
        <f t="shared" si="5"/>
        <v>-1</v>
      </c>
    </row>
    <row r="231" ht="15.75" customHeight="1">
      <c r="A231" s="1">
        <v>13.0</v>
      </c>
      <c r="B231" s="24" t="s">
        <v>1477</v>
      </c>
      <c r="C231" s="22">
        <v>0.8645833333333334</v>
      </c>
      <c r="D231" s="67" t="s">
        <v>19</v>
      </c>
      <c r="E231" s="13" t="s">
        <v>30</v>
      </c>
      <c r="F231" s="1" t="s">
        <v>611</v>
      </c>
      <c r="G231" s="45">
        <v>37350.0</v>
      </c>
      <c r="H231" s="25">
        <v>47775.0</v>
      </c>
      <c r="I231" s="26">
        <v>0.04236111111111111</v>
      </c>
      <c r="J231" s="1" t="s">
        <v>591</v>
      </c>
      <c r="K231" s="1">
        <f t="shared" si="1"/>
        <v>1</v>
      </c>
      <c r="L231" s="1">
        <f t="shared" si="2"/>
        <v>1</v>
      </c>
      <c r="M231" s="1" t="str">
        <f t="shared" ref="M231:M233" si="54">+CONCAT(K231,"-",L231)</f>
        <v>#N/A</v>
      </c>
      <c r="N231" s="1" t="str">
        <f t="shared" si="4"/>
        <v>DRAW</v>
      </c>
      <c r="O231" s="1">
        <f t="shared" si="5"/>
        <v>0</v>
      </c>
    </row>
    <row r="232" ht="15.75" customHeight="1">
      <c r="A232" s="1">
        <v>21.0</v>
      </c>
      <c r="B232" s="24" t="s">
        <v>1478</v>
      </c>
      <c r="C232" s="22">
        <v>0.6770833333333334</v>
      </c>
      <c r="D232" s="67" t="s">
        <v>19</v>
      </c>
      <c r="E232" s="13" t="s">
        <v>30</v>
      </c>
      <c r="F232" s="1" t="s">
        <v>536</v>
      </c>
      <c r="G232" s="24" t="s">
        <v>59</v>
      </c>
      <c r="H232" s="25">
        <v>14021.0</v>
      </c>
      <c r="I232" s="26">
        <v>0.001388888888888889</v>
      </c>
      <c r="J232" s="1" t="s">
        <v>500</v>
      </c>
      <c r="K232" s="1">
        <f t="shared" si="1"/>
        <v>0</v>
      </c>
      <c r="L232" s="1">
        <f t="shared" si="2"/>
        <v>2</v>
      </c>
      <c r="M232" s="1" t="str">
        <f t="shared" si="54"/>
        <v>#N/A</v>
      </c>
      <c r="N232" s="1" t="str">
        <f t="shared" si="4"/>
        <v>WIN</v>
      </c>
      <c r="O232" s="1">
        <f t="shared" si="5"/>
        <v>1</v>
      </c>
    </row>
    <row r="233" ht="15.75" customHeight="1">
      <c r="A233" s="1">
        <v>26.0</v>
      </c>
      <c r="B233" s="24" t="s">
        <v>1479</v>
      </c>
      <c r="C233" s="22">
        <v>0.875</v>
      </c>
      <c r="D233" s="67" t="s">
        <v>24</v>
      </c>
      <c r="E233" s="13" t="s">
        <v>43</v>
      </c>
      <c r="F233" s="1" t="s">
        <v>401</v>
      </c>
      <c r="G233" s="24" t="s">
        <v>59</v>
      </c>
      <c r="H233" s="25">
        <v>69770.0</v>
      </c>
      <c r="I233" s="26">
        <v>0.16666666666666666</v>
      </c>
      <c r="J233" s="17" t="s">
        <v>354</v>
      </c>
      <c r="K233" s="1">
        <f t="shared" si="1"/>
        <v>4</v>
      </c>
      <c r="L233" s="1">
        <f t="shared" si="2"/>
        <v>0</v>
      </c>
      <c r="M233" s="1" t="str">
        <f t="shared" si="54"/>
        <v>#N/A</v>
      </c>
      <c r="N233" s="1" t="str">
        <f t="shared" si="4"/>
        <v>WIN</v>
      </c>
      <c r="O233" s="1">
        <f t="shared" si="5"/>
        <v>1</v>
      </c>
    </row>
    <row r="234" ht="15.75" customHeight="1">
      <c r="A234" s="1">
        <v>3.0</v>
      </c>
      <c r="B234" s="24" t="s">
        <v>1480</v>
      </c>
      <c r="C234" s="22">
        <v>0.7291666666666666</v>
      </c>
      <c r="D234" s="67" t="s">
        <v>19</v>
      </c>
      <c r="E234" s="13" t="s">
        <v>181</v>
      </c>
      <c r="F234" s="1" t="s">
        <v>182</v>
      </c>
      <c r="G234" s="24" t="s">
        <v>59</v>
      </c>
      <c r="H234" s="25">
        <v>21679.0</v>
      </c>
      <c r="I234" s="26">
        <v>0.12777777777777777</v>
      </c>
      <c r="J234" s="17" t="s">
        <v>175</v>
      </c>
      <c r="K234" s="1">
        <f t="shared" si="1"/>
        <v>3</v>
      </c>
      <c r="L234" s="1">
        <f t="shared" si="2"/>
        <v>4</v>
      </c>
      <c r="M234" s="1" t="str">
        <f>+CONCAT(K234,L234)</f>
        <v>34</v>
      </c>
      <c r="N234" s="1" t="str">
        <f t="shared" si="4"/>
        <v>WIN</v>
      </c>
      <c r="O234" s="1">
        <f t="shared" si="5"/>
        <v>1</v>
      </c>
    </row>
    <row r="235" ht="15.75" customHeight="1">
      <c r="A235" s="1">
        <v>21.0</v>
      </c>
      <c r="B235" s="24" t="s">
        <v>1481</v>
      </c>
      <c r="C235" s="22">
        <v>0.8645833333333334</v>
      </c>
      <c r="D235" s="67" t="s">
        <v>24</v>
      </c>
      <c r="E235" s="13" t="s">
        <v>30</v>
      </c>
      <c r="F235" s="1" t="s">
        <v>593</v>
      </c>
      <c r="G235" s="24" t="s">
        <v>483</v>
      </c>
      <c r="H235" s="25">
        <v>62369.0</v>
      </c>
      <c r="I235" s="26">
        <v>0.08402777777777778</v>
      </c>
      <c r="J235" s="1" t="s">
        <v>591</v>
      </c>
      <c r="K235" s="1">
        <f t="shared" si="1"/>
        <v>2</v>
      </c>
      <c r="L235" s="1">
        <f t="shared" si="2"/>
        <v>1</v>
      </c>
      <c r="M235" s="1" t="str">
        <f t="shared" ref="M235:M236" si="55">+CONCAT(K235,"-",L235)</f>
        <v>#N/A</v>
      </c>
      <c r="N235" s="1" t="str">
        <f t="shared" si="4"/>
        <v>WIN</v>
      </c>
      <c r="O235" s="1">
        <f t="shared" si="5"/>
        <v>1</v>
      </c>
    </row>
    <row r="236" ht="15.75" customHeight="1">
      <c r="A236" s="37">
        <v>37.0</v>
      </c>
      <c r="B236" s="41" t="s">
        <v>1482</v>
      </c>
      <c r="C236" s="38">
        <v>0.7916666666666666</v>
      </c>
      <c r="D236" s="69" t="s">
        <v>24</v>
      </c>
      <c r="E236" s="40" t="s">
        <v>30</v>
      </c>
      <c r="F236" s="37" t="s">
        <v>329</v>
      </c>
      <c r="G236" s="41" t="s">
        <v>59</v>
      </c>
      <c r="H236" s="42">
        <v>88775.0</v>
      </c>
      <c r="I236" s="43">
        <v>0.125</v>
      </c>
      <c r="J236" s="44" t="s">
        <v>268</v>
      </c>
      <c r="K236" s="37">
        <f t="shared" si="1"/>
        <v>3</v>
      </c>
      <c r="L236" s="37">
        <f t="shared" si="2"/>
        <v>0</v>
      </c>
      <c r="M236" s="37" t="str">
        <f t="shared" si="55"/>
        <v>#N/A</v>
      </c>
      <c r="N236" s="37" t="str">
        <f t="shared" si="4"/>
        <v>WIN</v>
      </c>
      <c r="O236" s="37">
        <f t="shared" si="5"/>
        <v>1</v>
      </c>
      <c r="P236" s="37"/>
      <c r="Q236" s="37"/>
      <c r="R236" s="37"/>
      <c r="S236" s="37"/>
      <c r="T236" s="37"/>
      <c r="U236" s="37"/>
      <c r="V236" s="37"/>
      <c r="W236" s="37"/>
      <c r="X236" s="37"/>
      <c r="Y236" s="37"/>
    </row>
    <row r="237" ht="15.75" customHeight="1">
      <c r="A237" s="1">
        <v>3.0</v>
      </c>
      <c r="B237" s="24" t="s">
        <v>1483</v>
      </c>
      <c r="C237" s="22">
        <v>0.8125</v>
      </c>
      <c r="D237" s="67" t="s">
        <v>24</v>
      </c>
      <c r="E237" s="13" t="s">
        <v>272</v>
      </c>
      <c r="F237" s="1" t="s">
        <v>273</v>
      </c>
      <c r="G237" s="24" t="s">
        <v>59</v>
      </c>
      <c r="H237" s="25">
        <v>83972.0</v>
      </c>
      <c r="I237" s="26">
        <v>0.16666666666666666</v>
      </c>
      <c r="J237" s="17" t="s">
        <v>268</v>
      </c>
      <c r="K237" s="1">
        <f t="shared" si="1"/>
        <v>4</v>
      </c>
      <c r="L237" s="1">
        <f t="shared" si="2"/>
        <v>0</v>
      </c>
      <c r="M237" s="1" t="str">
        <f t="shared" ref="M237:M238" si="56">+CONCAT(K237,L237)</f>
        <v>40</v>
      </c>
      <c r="N237" s="1" t="str">
        <f t="shared" si="4"/>
        <v>WIN</v>
      </c>
      <c r="O237" s="1">
        <f t="shared" si="5"/>
        <v>1</v>
      </c>
    </row>
    <row r="238" ht="15.75" customHeight="1">
      <c r="A238" s="1">
        <v>7.0</v>
      </c>
      <c r="B238" s="24" t="s">
        <v>1484</v>
      </c>
      <c r="C238" s="22">
        <v>0.7708333333333334</v>
      </c>
      <c r="D238" s="67" t="s">
        <v>24</v>
      </c>
      <c r="E238" s="13" t="s">
        <v>33</v>
      </c>
      <c r="F238" s="1" t="s">
        <v>50</v>
      </c>
      <c r="G238" s="24" t="s">
        <v>21</v>
      </c>
      <c r="H238" s="25">
        <v>50103.0</v>
      </c>
      <c r="I238" s="26">
        <v>0.08402777777777778</v>
      </c>
      <c r="J238" s="17" t="s">
        <v>22</v>
      </c>
      <c r="K238" s="1">
        <f t="shared" si="1"/>
        <v>2</v>
      </c>
      <c r="L238" s="1">
        <f t="shared" si="2"/>
        <v>1</v>
      </c>
      <c r="M238" s="1" t="str">
        <f t="shared" si="56"/>
        <v>21</v>
      </c>
      <c r="N238" s="1" t="str">
        <f t="shared" si="4"/>
        <v>WIN</v>
      </c>
      <c r="O238" s="1">
        <f t="shared" si="5"/>
        <v>1</v>
      </c>
    </row>
    <row r="239" ht="15.75" customHeight="1">
      <c r="A239" s="1">
        <v>10.0</v>
      </c>
      <c r="B239" s="24" t="s">
        <v>1485</v>
      </c>
      <c r="C239" s="22">
        <v>0.6770833333333334</v>
      </c>
      <c r="D239" s="67" t="s">
        <v>24</v>
      </c>
      <c r="E239" s="13" t="s">
        <v>30</v>
      </c>
      <c r="F239" s="1" t="s">
        <v>516</v>
      </c>
      <c r="G239" s="24" t="s">
        <v>59</v>
      </c>
      <c r="H239" s="25">
        <v>93265.0</v>
      </c>
      <c r="I239" s="26">
        <v>0.20902777777777778</v>
      </c>
      <c r="J239" s="1" t="s">
        <v>500</v>
      </c>
      <c r="K239" s="1">
        <f t="shared" si="1"/>
        <v>5</v>
      </c>
      <c r="L239" s="1">
        <f t="shared" si="2"/>
        <v>1</v>
      </c>
      <c r="M239" s="1" t="str">
        <f t="shared" ref="M239:M241" si="57">+CONCAT(K239,"-",L239)</f>
        <v>#N/A</v>
      </c>
      <c r="N239" s="1" t="str">
        <f t="shared" si="4"/>
        <v>WIN</v>
      </c>
      <c r="O239" s="1">
        <f t="shared" si="5"/>
        <v>1</v>
      </c>
    </row>
    <row r="240" ht="15.75" customHeight="1">
      <c r="A240" s="1">
        <v>35.0</v>
      </c>
      <c r="B240" s="24" t="s">
        <v>1486</v>
      </c>
      <c r="C240" s="22">
        <v>0.8645833333333334</v>
      </c>
      <c r="D240" s="67" t="s">
        <v>19</v>
      </c>
      <c r="E240" s="13" t="s">
        <v>30</v>
      </c>
      <c r="F240" s="1" t="s">
        <v>646</v>
      </c>
      <c r="G240" s="24" t="s">
        <v>483</v>
      </c>
      <c r="H240" s="25">
        <v>25721.0</v>
      </c>
      <c r="I240" s="26">
        <v>0.08611111111111111</v>
      </c>
      <c r="J240" s="1" t="s">
        <v>591</v>
      </c>
      <c r="K240" s="1">
        <f t="shared" si="1"/>
        <v>2</v>
      </c>
      <c r="L240" s="1">
        <f t="shared" si="2"/>
        <v>4</v>
      </c>
      <c r="M240" s="1" t="str">
        <f t="shared" si="57"/>
        <v>#N/A</v>
      </c>
      <c r="N240" s="1" t="str">
        <f t="shared" si="4"/>
        <v>WIN</v>
      </c>
      <c r="O240" s="1">
        <f t="shared" si="5"/>
        <v>1</v>
      </c>
    </row>
    <row r="241" ht="15.75" customHeight="1">
      <c r="A241" s="1">
        <v>3.0</v>
      </c>
      <c r="B241" s="24" t="s">
        <v>1487</v>
      </c>
      <c r="C241" s="22">
        <v>0.7083333333333334</v>
      </c>
      <c r="D241" s="67" t="s">
        <v>24</v>
      </c>
      <c r="E241" s="13" t="s">
        <v>43</v>
      </c>
      <c r="F241" s="1" t="s">
        <v>65</v>
      </c>
      <c r="G241" s="24" t="s">
        <v>59</v>
      </c>
      <c r="H241" s="25">
        <v>26543.0</v>
      </c>
      <c r="I241" s="26">
        <v>0.08402777777777778</v>
      </c>
      <c r="J241" s="17" t="s">
        <v>354</v>
      </c>
      <c r="K241" s="1">
        <f t="shared" si="1"/>
        <v>2</v>
      </c>
      <c r="L241" s="1">
        <f t="shared" si="2"/>
        <v>1</v>
      </c>
      <c r="M241" s="1" t="str">
        <f t="shared" si="57"/>
        <v>#N/A</v>
      </c>
      <c r="N241" s="1" t="str">
        <f t="shared" si="4"/>
        <v>WIN</v>
      </c>
      <c r="O241" s="1">
        <f t="shared" si="5"/>
        <v>1</v>
      </c>
    </row>
    <row r="242" ht="15.75" customHeight="1">
      <c r="A242" s="1">
        <v>29.0</v>
      </c>
      <c r="B242" s="24" t="s">
        <v>1488</v>
      </c>
      <c r="C242" s="22">
        <v>0.6770833333333334</v>
      </c>
      <c r="D242" s="67" t="s">
        <v>24</v>
      </c>
      <c r="E242" s="13" t="s">
        <v>30</v>
      </c>
      <c r="F242" s="1" t="s">
        <v>109</v>
      </c>
      <c r="G242" s="24" t="s">
        <v>21</v>
      </c>
      <c r="H242" s="25">
        <v>48258.0</v>
      </c>
      <c r="I242" s="26">
        <v>0.1673611111111111</v>
      </c>
      <c r="J242" s="17" t="s">
        <v>53</v>
      </c>
      <c r="K242" s="1">
        <f t="shared" si="1"/>
        <v>4</v>
      </c>
      <c r="L242" s="1">
        <f t="shared" si="2"/>
        <v>1</v>
      </c>
      <c r="M242" s="1" t="str">
        <f t="shared" ref="M242:M243" si="58">+CONCAT(K242,L242)</f>
        <v>41</v>
      </c>
      <c r="N242" s="1" t="str">
        <f t="shared" si="4"/>
        <v>WIN</v>
      </c>
      <c r="O242" s="1">
        <f t="shared" si="5"/>
        <v>1</v>
      </c>
    </row>
    <row r="243" ht="15.75" customHeight="1">
      <c r="A243" s="1">
        <v>3.0</v>
      </c>
      <c r="B243" s="24" t="s">
        <v>1489</v>
      </c>
      <c r="C243" s="22">
        <v>0.8958333333333334</v>
      </c>
      <c r="D243" s="67" t="s">
        <v>19</v>
      </c>
      <c r="E243" s="13" t="s">
        <v>33</v>
      </c>
      <c r="F243" s="1" t="s">
        <v>41</v>
      </c>
      <c r="G243" s="24" t="s">
        <v>21</v>
      </c>
      <c r="H243" s="25">
        <v>14438.0</v>
      </c>
      <c r="I243" s="26">
        <v>0.04236111111111111</v>
      </c>
      <c r="J243" s="17" t="s">
        <v>22</v>
      </c>
      <c r="K243" s="1">
        <f t="shared" si="1"/>
        <v>1</v>
      </c>
      <c r="L243" s="1">
        <f t="shared" si="2"/>
        <v>1</v>
      </c>
      <c r="M243" s="1" t="str">
        <f t="shared" si="58"/>
        <v>11</v>
      </c>
      <c r="N243" s="1" t="str">
        <f t="shared" si="4"/>
        <v>DRAW</v>
      </c>
      <c r="O243" s="1">
        <f t="shared" si="5"/>
        <v>0</v>
      </c>
    </row>
    <row r="244" ht="15.75" customHeight="1">
      <c r="A244" s="24" t="s">
        <v>151</v>
      </c>
      <c r="B244" s="24" t="s">
        <v>1490</v>
      </c>
      <c r="C244" s="22">
        <v>0.8958333333333334</v>
      </c>
      <c r="D244" s="67" t="s">
        <v>24</v>
      </c>
      <c r="E244" s="13"/>
      <c r="F244" s="1" t="s">
        <v>165</v>
      </c>
      <c r="G244" s="45">
        <v>37350.0</v>
      </c>
      <c r="H244" s="25">
        <v>50959.0</v>
      </c>
      <c r="I244" s="26">
        <v>0.041666666666666664</v>
      </c>
      <c r="J244" s="1" t="s">
        <v>591</v>
      </c>
      <c r="K244" s="1">
        <f t="shared" si="1"/>
        <v>1</v>
      </c>
      <c r="L244" s="1">
        <f t="shared" si="2"/>
        <v>0</v>
      </c>
      <c r="M244" s="1" t="str">
        <f t="shared" ref="M244:M247" si="59">+CONCAT(K244,"-",L244)</f>
        <v>#N/A</v>
      </c>
      <c r="N244" s="1" t="str">
        <f t="shared" si="4"/>
        <v>WIN</v>
      </c>
      <c r="O244" s="1">
        <f t="shared" si="5"/>
        <v>1</v>
      </c>
    </row>
    <row r="245" ht="15.75" customHeight="1">
      <c r="A245" s="1">
        <v>26.0</v>
      </c>
      <c r="B245" s="24" t="s">
        <v>1491</v>
      </c>
      <c r="C245" s="22">
        <v>0.875</v>
      </c>
      <c r="D245" s="67" t="s">
        <v>19</v>
      </c>
      <c r="E245" s="13" t="s">
        <v>30</v>
      </c>
      <c r="F245" s="1" t="s">
        <v>633</v>
      </c>
      <c r="G245" s="45">
        <v>37350.0</v>
      </c>
      <c r="H245" s="25">
        <v>23778.0</v>
      </c>
      <c r="I245" s="26">
        <v>0.04236111111111111</v>
      </c>
      <c r="J245" s="1" t="s">
        <v>591</v>
      </c>
      <c r="K245" s="1">
        <f t="shared" si="1"/>
        <v>1</v>
      </c>
      <c r="L245" s="1">
        <f t="shared" si="2"/>
        <v>1</v>
      </c>
      <c r="M245" s="1" t="str">
        <f t="shared" si="59"/>
        <v>#N/A</v>
      </c>
      <c r="N245" s="1" t="str">
        <f t="shared" si="4"/>
        <v>DRAW</v>
      </c>
      <c r="O245" s="1">
        <f t="shared" si="5"/>
        <v>0</v>
      </c>
    </row>
    <row r="246" ht="15.75" customHeight="1">
      <c r="A246" s="24" t="s">
        <v>151</v>
      </c>
      <c r="B246" s="24" t="s">
        <v>1492</v>
      </c>
      <c r="C246" s="22">
        <v>0.875</v>
      </c>
      <c r="D246" s="67" t="s">
        <v>19</v>
      </c>
      <c r="E246" s="13"/>
      <c r="F246" s="1" t="s">
        <v>171</v>
      </c>
      <c r="G246" s="24" t="s">
        <v>59</v>
      </c>
      <c r="H246" s="25">
        <v>63000.0</v>
      </c>
      <c r="I246" s="26">
        <v>6.944444444444445E-4</v>
      </c>
      <c r="J246" s="17" t="s">
        <v>268</v>
      </c>
      <c r="K246" s="1">
        <f t="shared" si="1"/>
        <v>0</v>
      </c>
      <c r="L246" s="1">
        <f t="shared" si="2"/>
        <v>1</v>
      </c>
      <c r="M246" s="1" t="str">
        <f t="shared" si="59"/>
        <v>#N/A</v>
      </c>
      <c r="N246" s="1" t="str">
        <f t="shared" si="4"/>
        <v>WIN</v>
      </c>
      <c r="O246" s="1">
        <f t="shared" si="5"/>
        <v>1</v>
      </c>
    </row>
    <row r="247" ht="15.75" customHeight="1">
      <c r="A247" s="24" t="s">
        <v>143</v>
      </c>
      <c r="B247" s="24" t="s">
        <v>1493</v>
      </c>
      <c r="C247" s="22">
        <v>0.7916666666666666</v>
      </c>
      <c r="D247" s="67" t="s">
        <v>19</v>
      </c>
      <c r="E247" s="13"/>
      <c r="F247" s="1" t="s">
        <v>670</v>
      </c>
      <c r="G247" s="24" t="s">
        <v>370</v>
      </c>
      <c r="H247" s="25">
        <v>21338.0</v>
      </c>
      <c r="I247" s="26">
        <v>0.04236111111111111</v>
      </c>
      <c r="J247" s="1" t="s">
        <v>591</v>
      </c>
      <c r="K247" s="1">
        <f t="shared" si="1"/>
        <v>1</v>
      </c>
      <c r="L247" s="1">
        <f t="shared" si="2"/>
        <v>1</v>
      </c>
      <c r="M247" s="1" t="str">
        <f t="shared" si="59"/>
        <v>#N/A</v>
      </c>
      <c r="N247" s="1" t="str">
        <f t="shared" si="4"/>
        <v>DRAW</v>
      </c>
      <c r="O247" s="1">
        <f t="shared" si="5"/>
        <v>0</v>
      </c>
    </row>
    <row r="248" ht="15.75" customHeight="1">
      <c r="A248" s="1">
        <v>19.0</v>
      </c>
      <c r="B248" s="24" t="s">
        <v>1494</v>
      </c>
      <c r="C248" s="22">
        <v>0.8958333333333334</v>
      </c>
      <c r="D248" s="67" t="s">
        <v>19</v>
      </c>
      <c r="E248" s="13" t="s">
        <v>43</v>
      </c>
      <c r="F248" s="1" t="s">
        <v>211</v>
      </c>
      <c r="G248" s="24" t="s">
        <v>59</v>
      </c>
      <c r="H248" s="25">
        <v>31712.0</v>
      </c>
      <c r="I248" s="26">
        <v>0.043055555555555555</v>
      </c>
      <c r="J248" s="17" t="s">
        <v>175</v>
      </c>
      <c r="K248" s="1">
        <f t="shared" si="1"/>
        <v>1</v>
      </c>
      <c r="L248" s="1">
        <f t="shared" si="2"/>
        <v>2</v>
      </c>
      <c r="M248" s="1" t="str">
        <f>+CONCAT(K248,L248)</f>
        <v>12</v>
      </c>
      <c r="N248" s="1" t="str">
        <f t="shared" si="4"/>
        <v>WIN</v>
      </c>
      <c r="O248" s="1">
        <f t="shared" si="5"/>
        <v>1</v>
      </c>
    </row>
    <row r="249" ht="15.75" customHeight="1">
      <c r="A249" s="24" t="s">
        <v>163</v>
      </c>
      <c r="B249" s="24" t="s">
        <v>1495</v>
      </c>
      <c r="C249" s="22">
        <v>0.875</v>
      </c>
      <c r="D249" s="67" t="s">
        <v>19</v>
      </c>
      <c r="E249" s="13"/>
      <c r="F249" s="1" t="s">
        <v>264</v>
      </c>
      <c r="G249" s="24" t="s">
        <v>59</v>
      </c>
      <c r="H249" s="25">
        <v>49154.0</v>
      </c>
      <c r="I249" s="26">
        <v>0.041666666666666664</v>
      </c>
      <c r="J249" s="1" t="s">
        <v>437</v>
      </c>
      <c r="K249" s="1">
        <f t="shared" si="1"/>
        <v>1</v>
      </c>
      <c r="L249" s="1">
        <f t="shared" si="2"/>
        <v>0</v>
      </c>
      <c r="M249" s="1" t="str">
        <f>+CONCAT(K249,"-",L249)</f>
        <v>#N/A</v>
      </c>
      <c r="N249" s="1" t="str">
        <f t="shared" si="4"/>
        <v>LOSS</v>
      </c>
      <c r="O249" s="1">
        <f t="shared" si="5"/>
        <v>-1</v>
      </c>
    </row>
    <row r="250" ht="15.75" customHeight="1">
      <c r="A250" s="24" t="s">
        <v>163</v>
      </c>
      <c r="B250" s="24" t="s">
        <v>1496</v>
      </c>
      <c r="C250" s="22">
        <v>0.8958333333333334</v>
      </c>
      <c r="D250" s="67" t="s">
        <v>19</v>
      </c>
      <c r="E250" s="13"/>
      <c r="F250" s="1" t="s">
        <v>165</v>
      </c>
      <c r="G250" s="24" t="s">
        <v>59</v>
      </c>
      <c r="H250" s="25">
        <v>46806.0</v>
      </c>
      <c r="I250" s="26">
        <v>0.003472222222222222</v>
      </c>
      <c r="J250" s="17" t="s">
        <v>53</v>
      </c>
      <c r="K250" s="1">
        <f t="shared" si="1"/>
        <v>0</v>
      </c>
      <c r="L250" s="1">
        <f t="shared" si="2"/>
        <v>5</v>
      </c>
      <c r="M250" s="1" t="str">
        <f>+CONCAT(K250,L250)</f>
        <v>05</v>
      </c>
      <c r="N250" s="1" t="str">
        <f t="shared" si="4"/>
        <v>WIN</v>
      </c>
      <c r="O250" s="1">
        <f t="shared" si="5"/>
        <v>1</v>
      </c>
    </row>
    <row r="251" ht="15.75" customHeight="1">
      <c r="A251" s="24" t="s">
        <v>147</v>
      </c>
      <c r="B251" s="24" t="s">
        <v>1497</v>
      </c>
      <c r="C251" s="22">
        <v>0.875</v>
      </c>
      <c r="D251" s="67" t="s">
        <v>19</v>
      </c>
      <c r="E251" s="13"/>
      <c r="F251" s="1" t="s">
        <v>431</v>
      </c>
      <c r="G251" s="24" t="s">
        <v>59</v>
      </c>
      <c r="H251" s="27">
        <v>48000.0</v>
      </c>
      <c r="I251" s="26">
        <v>0.04236111111111111</v>
      </c>
      <c r="J251" s="17" t="s">
        <v>354</v>
      </c>
      <c r="K251" s="1">
        <f t="shared" si="1"/>
        <v>1</v>
      </c>
      <c r="L251" s="1">
        <f t="shared" si="2"/>
        <v>1</v>
      </c>
      <c r="M251" s="1" t="str">
        <f t="shared" ref="M251:M256" si="60">+CONCAT(K251,"-",L251)</f>
        <v>#N/A</v>
      </c>
      <c r="N251" s="1" t="str">
        <f t="shared" si="4"/>
        <v>DRAW</v>
      </c>
      <c r="O251" s="1">
        <f t="shared" si="5"/>
        <v>0</v>
      </c>
    </row>
    <row r="252" ht="15.75" customHeight="1">
      <c r="A252" s="24" t="s">
        <v>154</v>
      </c>
      <c r="B252" s="24" t="s">
        <v>1498</v>
      </c>
      <c r="C252" s="22">
        <v>0.8958333333333334</v>
      </c>
      <c r="D252" s="67" t="s">
        <v>19</v>
      </c>
      <c r="E252" s="13"/>
      <c r="F252" s="1" t="s">
        <v>165</v>
      </c>
      <c r="G252" s="45">
        <v>37350.0</v>
      </c>
      <c r="H252" s="25">
        <v>43355.0</v>
      </c>
      <c r="I252" s="26">
        <v>0.001388888888888889</v>
      </c>
      <c r="J252" s="1" t="s">
        <v>591</v>
      </c>
      <c r="K252" s="1">
        <f t="shared" si="1"/>
        <v>0</v>
      </c>
      <c r="L252" s="1">
        <f t="shared" si="2"/>
        <v>2</v>
      </c>
      <c r="M252" s="1" t="str">
        <f t="shared" si="60"/>
        <v>#N/A</v>
      </c>
      <c r="N252" s="1" t="str">
        <f t="shared" si="4"/>
        <v>WIN</v>
      </c>
      <c r="O252" s="1">
        <f t="shared" si="5"/>
        <v>1</v>
      </c>
    </row>
    <row r="253" ht="15.75" customHeight="1">
      <c r="A253" s="24" t="s">
        <v>143</v>
      </c>
      <c r="B253" s="24" t="s">
        <v>1499</v>
      </c>
      <c r="C253" s="22">
        <v>0.8958333333333334</v>
      </c>
      <c r="D253" s="67" t="s">
        <v>19</v>
      </c>
      <c r="E253" s="13"/>
      <c r="F253" s="1" t="s">
        <v>582</v>
      </c>
      <c r="G253" s="24" t="s">
        <v>59</v>
      </c>
      <c r="H253" s="25">
        <v>17614.0</v>
      </c>
      <c r="I253" s="26">
        <v>0.08402777777777778</v>
      </c>
      <c r="J253" s="1" t="s">
        <v>500</v>
      </c>
      <c r="K253" s="1">
        <f t="shared" si="1"/>
        <v>2</v>
      </c>
      <c r="L253" s="1">
        <f t="shared" si="2"/>
        <v>1</v>
      </c>
      <c r="M253" s="1" t="str">
        <f t="shared" si="60"/>
        <v>#N/A</v>
      </c>
      <c r="N253" s="1" t="str">
        <f t="shared" si="4"/>
        <v>LOSS</v>
      </c>
      <c r="O253" s="1">
        <f t="shared" si="5"/>
        <v>-1</v>
      </c>
    </row>
    <row r="254" ht="15.75" customHeight="1">
      <c r="A254" s="24" t="s">
        <v>143</v>
      </c>
      <c r="B254" s="24" t="s">
        <v>1500</v>
      </c>
      <c r="C254" s="22">
        <v>0.875</v>
      </c>
      <c r="D254" s="67" t="s">
        <v>24</v>
      </c>
      <c r="E254" s="13"/>
      <c r="F254" s="1" t="s">
        <v>428</v>
      </c>
      <c r="G254" s="24" t="s">
        <v>59</v>
      </c>
      <c r="H254" s="25">
        <v>61740.0</v>
      </c>
      <c r="I254" s="26">
        <v>0.0</v>
      </c>
      <c r="J254" s="17" t="s">
        <v>354</v>
      </c>
      <c r="K254" s="1">
        <f t="shared" si="1"/>
        <v>0</v>
      </c>
      <c r="L254" s="1">
        <f t="shared" si="2"/>
        <v>0</v>
      </c>
      <c r="M254" s="1" t="str">
        <f t="shared" si="60"/>
        <v>#N/A</v>
      </c>
      <c r="N254" s="1" t="str">
        <f t="shared" si="4"/>
        <v>DRAW</v>
      </c>
      <c r="O254" s="1">
        <f t="shared" si="5"/>
        <v>0</v>
      </c>
    </row>
    <row r="255" ht="15.75" customHeight="1">
      <c r="A255" s="24" t="s">
        <v>145</v>
      </c>
      <c r="B255" s="24" t="s">
        <v>1501</v>
      </c>
      <c r="C255" s="22">
        <v>0.8958333333333334</v>
      </c>
      <c r="D255" s="67" t="s">
        <v>24</v>
      </c>
      <c r="E255" s="13"/>
      <c r="F255" s="1" t="s">
        <v>670</v>
      </c>
      <c r="G255" s="45">
        <v>37350.0</v>
      </c>
      <c r="H255" s="25">
        <v>59009.0</v>
      </c>
      <c r="I255" s="26">
        <v>0.20833333333333334</v>
      </c>
      <c r="J255" s="1" t="s">
        <v>591</v>
      </c>
      <c r="K255" s="1">
        <f t="shared" si="1"/>
        <v>5</v>
      </c>
      <c r="L255" s="1">
        <f t="shared" si="2"/>
        <v>0</v>
      </c>
      <c r="M255" s="1" t="str">
        <f t="shared" si="60"/>
        <v>#N/A</v>
      </c>
      <c r="N255" s="1" t="str">
        <f t="shared" si="4"/>
        <v>WIN</v>
      </c>
      <c r="O255" s="1">
        <f t="shared" si="5"/>
        <v>1</v>
      </c>
    </row>
    <row r="256" ht="15.75" customHeight="1">
      <c r="A256" s="24" t="s">
        <v>149</v>
      </c>
      <c r="B256" s="24" t="s">
        <v>1502</v>
      </c>
      <c r="C256" s="22">
        <v>0.875</v>
      </c>
      <c r="D256" s="67" t="s">
        <v>24</v>
      </c>
      <c r="E256" s="13"/>
      <c r="F256" s="1" t="s">
        <v>431</v>
      </c>
      <c r="G256" s="24" t="s">
        <v>59</v>
      </c>
      <c r="H256" s="25">
        <v>79468.0</v>
      </c>
      <c r="I256" s="26">
        <v>0.08541666666666667</v>
      </c>
      <c r="J256" s="17" t="s">
        <v>354</v>
      </c>
      <c r="K256" s="1">
        <f t="shared" si="1"/>
        <v>2</v>
      </c>
      <c r="L256" s="1">
        <f t="shared" si="2"/>
        <v>3</v>
      </c>
      <c r="M256" s="1" t="str">
        <f t="shared" si="60"/>
        <v>#N/A</v>
      </c>
      <c r="N256" s="1" t="str">
        <f t="shared" si="4"/>
        <v>LOSS</v>
      </c>
      <c r="O256" s="1">
        <f t="shared" si="5"/>
        <v>-1</v>
      </c>
    </row>
    <row r="257" ht="15.75" customHeight="1">
      <c r="A257" s="1">
        <v>36.0</v>
      </c>
      <c r="B257" s="24" t="s">
        <v>1503</v>
      </c>
      <c r="C257" s="22">
        <v>0.8958333333333334</v>
      </c>
      <c r="D257" s="67" t="s">
        <v>19</v>
      </c>
      <c r="E257" s="13" t="s">
        <v>30</v>
      </c>
      <c r="F257" s="1" t="s">
        <v>122</v>
      </c>
      <c r="G257" s="24" t="s">
        <v>21</v>
      </c>
      <c r="H257" s="25">
        <v>34283.0</v>
      </c>
      <c r="I257" s="26">
        <v>0.001388888888888889</v>
      </c>
      <c r="J257" s="17" t="s">
        <v>53</v>
      </c>
      <c r="K257" s="1">
        <f t="shared" si="1"/>
        <v>0</v>
      </c>
      <c r="L257" s="1">
        <f t="shared" si="2"/>
        <v>2</v>
      </c>
      <c r="M257" s="1" t="str">
        <f>+CONCAT(K257,L257)</f>
        <v>02</v>
      </c>
      <c r="N257" s="1" t="str">
        <f t="shared" si="4"/>
        <v>WIN</v>
      </c>
      <c r="O257" s="1">
        <f t="shared" si="5"/>
        <v>1</v>
      </c>
    </row>
    <row r="258" ht="15.75" customHeight="1">
      <c r="A258" s="24" t="s">
        <v>339</v>
      </c>
      <c r="B258" s="24" t="s">
        <v>1504</v>
      </c>
      <c r="C258" s="22">
        <v>0.78125</v>
      </c>
      <c r="D258" s="67" t="s">
        <v>24</v>
      </c>
      <c r="E258" s="13"/>
      <c r="F258" s="1" t="s">
        <v>341</v>
      </c>
      <c r="G258" s="24" t="s">
        <v>59</v>
      </c>
      <c r="H258" s="25">
        <v>90225.0</v>
      </c>
      <c r="I258" s="26">
        <v>0.08472222222222223</v>
      </c>
      <c r="J258" s="17" t="s">
        <v>268</v>
      </c>
      <c r="K258" s="1">
        <f t="shared" si="1"/>
        <v>2</v>
      </c>
      <c r="L258" s="1">
        <f t="shared" si="2"/>
        <v>2</v>
      </c>
      <c r="M258" s="1" t="str">
        <f>+CONCAT(K258,"-",L258)</f>
        <v>#N/A</v>
      </c>
      <c r="N258" s="1" t="str">
        <f t="shared" si="4"/>
        <v>DRAW</v>
      </c>
      <c r="O258" s="1">
        <f t="shared" si="5"/>
        <v>0</v>
      </c>
    </row>
    <row r="259" ht="15.75" customHeight="1">
      <c r="A259" s="1">
        <v>36.0</v>
      </c>
      <c r="B259" s="24" t="s">
        <v>1505</v>
      </c>
      <c r="C259" s="22">
        <v>0.8958333333333334</v>
      </c>
      <c r="D259" s="67" t="s">
        <v>19</v>
      </c>
      <c r="E259" s="13" t="s">
        <v>33</v>
      </c>
      <c r="F259" s="1" t="s">
        <v>209</v>
      </c>
      <c r="G259" s="24" t="s">
        <v>59</v>
      </c>
      <c r="H259" s="25">
        <v>15543.0</v>
      </c>
      <c r="I259" s="26">
        <v>0.001388888888888889</v>
      </c>
      <c r="J259" s="17" t="s">
        <v>175</v>
      </c>
      <c r="K259" s="1">
        <f t="shared" si="1"/>
        <v>0</v>
      </c>
      <c r="L259" s="1">
        <f t="shared" si="2"/>
        <v>2</v>
      </c>
      <c r="M259" s="1" t="str">
        <f>+CONCAT(K259,L259)</f>
        <v>02</v>
      </c>
      <c r="N259" s="1" t="str">
        <f t="shared" si="4"/>
        <v>WIN</v>
      </c>
      <c r="O259" s="1">
        <f t="shared" si="5"/>
        <v>1</v>
      </c>
    </row>
    <row r="260" ht="15.75" customHeight="1">
      <c r="A260" s="24" t="s">
        <v>145</v>
      </c>
      <c r="B260" s="24" t="s">
        <v>1506</v>
      </c>
      <c r="C260" s="22">
        <v>0.8958333333333334</v>
      </c>
      <c r="D260" s="67" t="s">
        <v>24</v>
      </c>
      <c r="E260" s="13"/>
      <c r="F260" s="1" t="s">
        <v>582</v>
      </c>
      <c r="G260" s="24" t="s">
        <v>59</v>
      </c>
      <c r="H260" s="25">
        <v>42838.0</v>
      </c>
      <c r="I260" s="26">
        <v>0.125</v>
      </c>
      <c r="J260" s="1" t="s">
        <v>500</v>
      </c>
      <c r="K260" s="1">
        <f t="shared" si="1"/>
        <v>3</v>
      </c>
      <c r="L260" s="1">
        <f t="shared" si="2"/>
        <v>0</v>
      </c>
      <c r="M260" s="1" t="str">
        <f t="shared" ref="M260:M262" si="61">+CONCAT(K260,"-",L260)</f>
        <v>#N/A</v>
      </c>
      <c r="N260" s="1" t="str">
        <f t="shared" si="4"/>
        <v>WIN</v>
      </c>
      <c r="O260" s="1">
        <f t="shared" si="5"/>
        <v>1</v>
      </c>
    </row>
    <row r="261" ht="15.75" customHeight="1">
      <c r="A261" s="24" t="s">
        <v>339</v>
      </c>
      <c r="B261" s="24" t="s">
        <v>1507</v>
      </c>
      <c r="C261" s="22">
        <v>0.78125</v>
      </c>
      <c r="D261" s="67" t="s">
        <v>24</v>
      </c>
      <c r="E261" s="13"/>
      <c r="F261" s="1" t="s">
        <v>256</v>
      </c>
      <c r="G261" s="24" t="s">
        <v>59</v>
      </c>
      <c r="H261" s="25">
        <v>73525.0</v>
      </c>
      <c r="I261" s="26">
        <v>0.04236111111111111</v>
      </c>
      <c r="J261" s="17" t="s">
        <v>354</v>
      </c>
      <c r="K261" s="1">
        <f t="shared" si="1"/>
        <v>1</v>
      </c>
      <c r="L261" s="1">
        <f t="shared" si="2"/>
        <v>1</v>
      </c>
      <c r="M261" s="1" t="str">
        <f t="shared" si="61"/>
        <v>#N/A</v>
      </c>
      <c r="N261" s="1" t="str">
        <f t="shared" si="4"/>
        <v>DRAW</v>
      </c>
      <c r="O261" s="1">
        <f t="shared" si="5"/>
        <v>0</v>
      </c>
    </row>
    <row r="262" ht="15.75" customHeight="1">
      <c r="A262" s="24" t="s">
        <v>145</v>
      </c>
      <c r="B262" s="24" t="s">
        <v>1508</v>
      </c>
      <c r="C262" s="22">
        <v>0.78125</v>
      </c>
      <c r="D262" s="67" t="s">
        <v>19</v>
      </c>
      <c r="E262" s="13"/>
      <c r="F262" s="1" t="s">
        <v>428</v>
      </c>
      <c r="G262" s="24" t="s">
        <v>59</v>
      </c>
      <c r="H262" s="25">
        <v>50110.0</v>
      </c>
      <c r="I262" s="26">
        <v>0.043055555555555555</v>
      </c>
      <c r="J262" s="17" t="s">
        <v>354</v>
      </c>
      <c r="K262" s="1">
        <f t="shared" si="1"/>
        <v>1</v>
      </c>
      <c r="L262" s="1">
        <f t="shared" si="2"/>
        <v>2</v>
      </c>
      <c r="M262" s="1" t="str">
        <f t="shared" si="61"/>
        <v>#N/A</v>
      </c>
      <c r="N262" s="1" t="str">
        <f t="shared" si="4"/>
        <v>WIN</v>
      </c>
      <c r="O262" s="1">
        <f t="shared" si="5"/>
        <v>1</v>
      </c>
    </row>
    <row r="263" ht="15.75" customHeight="1">
      <c r="A263" s="24" t="s">
        <v>160</v>
      </c>
      <c r="B263" s="24" t="s">
        <v>1509</v>
      </c>
      <c r="C263" s="22">
        <v>0.8125</v>
      </c>
      <c r="D263" s="67" t="s">
        <v>19</v>
      </c>
      <c r="E263" s="13"/>
      <c r="F263" s="1" t="s">
        <v>262</v>
      </c>
      <c r="G263" s="24" t="s">
        <v>59</v>
      </c>
      <c r="H263" s="25">
        <v>6246.0</v>
      </c>
      <c r="I263" s="26">
        <v>0.04375</v>
      </c>
      <c r="J263" s="17" t="s">
        <v>175</v>
      </c>
      <c r="K263" s="1">
        <f t="shared" si="1"/>
        <v>1</v>
      </c>
      <c r="L263" s="1">
        <f t="shared" si="2"/>
        <v>3</v>
      </c>
      <c r="M263" s="1" t="str">
        <f>+CONCAT(K263,L263)</f>
        <v>13</v>
      </c>
      <c r="N263" s="1" t="str">
        <f t="shared" si="4"/>
        <v>WIN</v>
      </c>
      <c r="O263" s="1">
        <f t="shared" si="5"/>
        <v>1</v>
      </c>
    </row>
    <row r="264" ht="15.75" customHeight="1">
      <c r="A264" s="24" t="s">
        <v>160</v>
      </c>
      <c r="B264" s="24" t="s">
        <v>1510</v>
      </c>
      <c r="C264" s="22">
        <v>0.8333333333333334</v>
      </c>
      <c r="D264" s="67" t="s">
        <v>19</v>
      </c>
      <c r="E264" s="13"/>
      <c r="F264" s="1" t="s">
        <v>348</v>
      </c>
      <c r="G264" s="24" t="s">
        <v>59</v>
      </c>
      <c r="H264" s="27">
        <v>6500.0</v>
      </c>
      <c r="I264" s="26">
        <v>0.003472222222222222</v>
      </c>
      <c r="J264" s="17" t="s">
        <v>268</v>
      </c>
      <c r="K264" s="1">
        <f t="shared" si="1"/>
        <v>0</v>
      </c>
      <c r="L264" s="1">
        <f t="shared" si="2"/>
        <v>5</v>
      </c>
      <c r="M264" s="1" t="str">
        <f>+CONCAT(K264,"-",L264)</f>
        <v>#N/A</v>
      </c>
      <c r="N264" s="1" t="str">
        <f t="shared" si="4"/>
        <v>WIN</v>
      </c>
      <c r="O264" s="1">
        <f t="shared" si="5"/>
        <v>1</v>
      </c>
    </row>
    <row r="265" ht="15.75" customHeight="1">
      <c r="A265" s="24" t="s">
        <v>17</v>
      </c>
      <c r="B265" s="24" t="s">
        <v>1511</v>
      </c>
      <c r="C265" s="22">
        <v>0.875</v>
      </c>
      <c r="D265" s="67" t="s">
        <v>19</v>
      </c>
      <c r="E265" s="13"/>
      <c r="F265" s="1" t="s">
        <v>128</v>
      </c>
      <c r="G265" s="24" t="s">
        <v>21</v>
      </c>
      <c r="H265" s="25">
        <v>13296.0</v>
      </c>
      <c r="I265" s="26">
        <v>0.08402777777777778</v>
      </c>
      <c r="J265" s="17" t="s">
        <v>53</v>
      </c>
      <c r="K265" s="1">
        <f t="shared" si="1"/>
        <v>2</v>
      </c>
      <c r="L265" s="1">
        <f t="shared" si="2"/>
        <v>1</v>
      </c>
      <c r="M265" s="1" t="str">
        <f>+CONCAT(K265,L265)</f>
        <v>21</v>
      </c>
      <c r="N265" s="1" t="str">
        <f t="shared" si="4"/>
        <v>LOSS</v>
      </c>
      <c r="O265" s="1">
        <f t="shared" si="5"/>
        <v>-1</v>
      </c>
    </row>
    <row r="266" ht="15.75" customHeight="1">
      <c r="A266" s="24" t="s">
        <v>160</v>
      </c>
      <c r="B266" s="24" t="s">
        <v>1512</v>
      </c>
      <c r="C266" s="22">
        <v>0.8958333333333334</v>
      </c>
      <c r="D266" s="67" t="s">
        <v>19</v>
      </c>
      <c r="E266" s="13"/>
      <c r="F266" s="1" t="s">
        <v>264</v>
      </c>
      <c r="G266" s="24" t="s">
        <v>59</v>
      </c>
      <c r="H266" s="25">
        <v>37287.0</v>
      </c>
      <c r="I266" s="28" t="s">
        <v>172</v>
      </c>
      <c r="J266" s="17" t="s">
        <v>354</v>
      </c>
      <c r="K266" s="1" t="str">
        <f t="shared" si="1"/>
        <v>#VALUE!</v>
      </c>
      <c r="L266" s="1" t="str">
        <f t="shared" si="2"/>
        <v>#VALUE!</v>
      </c>
      <c r="M266" s="1" t="str">
        <f>+CONCAT(K266,"-",L266)</f>
        <v>#N/A</v>
      </c>
      <c r="N266" s="1" t="str">
        <f t="shared" si="4"/>
        <v>#VALUE!</v>
      </c>
      <c r="O266" s="1" t="str">
        <f t="shared" si="5"/>
        <v>#VALUE!</v>
      </c>
    </row>
    <row r="267" ht="15.75" customHeight="1">
      <c r="A267" s="1">
        <v>10.0</v>
      </c>
      <c r="B267" s="24" t="s">
        <v>1513</v>
      </c>
      <c r="C267" s="22">
        <v>0.875</v>
      </c>
      <c r="D267" s="67" t="s">
        <v>24</v>
      </c>
      <c r="E267" s="13" t="s">
        <v>33</v>
      </c>
      <c r="F267" s="1" t="s">
        <v>286</v>
      </c>
      <c r="G267" s="24" t="s">
        <v>59</v>
      </c>
      <c r="H267" s="25">
        <v>73261.0</v>
      </c>
      <c r="I267" s="26">
        <v>0.125</v>
      </c>
      <c r="J267" s="17" t="s">
        <v>268</v>
      </c>
      <c r="K267" s="1">
        <f t="shared" si="1"/>
        <v>3</v>
      </c>
      <c r="L267" s="1">
        <f t="shared" si="2"/>
        <v>0</v>
      </c>
      <c r="M267" s="1" t="str">
        <f>+CONCAT(K267,L267)</f>
        <v>30</v>
      </c>
      <c r="N267" s="1" t="str">
        <f t="shared" si="4"/>
        <v>WIN</v>
      </c>
      <c r="O267" s="1">
        <f t="shared" si="5"/>
        <v>1</v>
      </c>
    </row>
    <row r="268" ht="15.75" customHeight="1">
      <c r="A268" s="1">
        <v>33.0</v>
      </c>
      <c r="B268" s="24" t="s">
        <v>1514</v>
      </c>
      <c r="C268" s="22">
        <v>0.8958333333333334</v>
      </c>
      <c r="D268" s="67" t="s">
        <v>19</v>
      </c>
      <c r="E268" s="13" t="s">
        <v>33</v>
      </c>
      <c r="F268" s="1" t="s">
        <v>239</v>
      </c>
      <c r="G268" s="24" t="s">
        <v>59</v>
      </c>
      <c r="H268" s="25">
        <v>35128.0</v>
      </c>
      <c r="I268" s="26">
        <v>6.944444444444445E-4</v>
      </c>
      <c r="J268" s="17" t="s">
        <v>354</v>
      </c>
      <c r="K268" s="1">
        <f t="shared" si="1"/>
        <v>0</v>
      </c>
      <c r="L268" s="1">
        <f t="shared" si="2"/>
        <v>1</v>
      </c>
      <c r="M268" s="1" t="str">
        <f t="shared" ref="M268:M272" si="62">+CONCAT(K268,"-",L268)</f>
        <v>#N/A</v>
      </c>
      <c r="N268" s="1" t="str">
        <f t="shared" si="4"/>
        <v>WIN</v>
      </c>
      <c r="O268" s="1">
        <f t="shared" si="5"/>
        <v>1</v>
      </c>
    </row>
    <row r="269" ht="15.75" customHeight="1">
      <c r="A269" s="24" t="s">
        <v>342</v>
      </c>
      <c r="B269" s="24" t="s">
        <v>1515</v>
      </c>
      <c r="C269" s="22">
        <v>0.875</v>
      </c>
      <c r="D269" s="67" t="s">
        <v>19</v>
      </c>
      <c r="E269" s="13"/>
      <c r="F269" s="1" t="s">
        <v>341</v>
      </c>
      <c r="G269" s="24" t="s">
        <v>59</v>
      </c>
      <c r="H269" s="25">
        <v>73021.0</v>
      </c>
      <c r="I269" s="26">
        <v>0.08402777777777778</v>
      </c>
      <c r="J269" s="17" t="s">
        <v>268</v>
      </c>
      <c r="K269" s="1">
        <f t="shared" si="1"/>
        <v>2</v>
      </c>
      <c r="L269" s="1">
        <f t="shared" si="2"/>
        <v>1</v>
      </c>
      <c r="M269" s="1" t="str">
        <f t="shared" si="62"/>
        <v>#N/A</v>
      </c>
      <c r="N269" s="1" t="str">
        <f t="shared" si="4"/>
        <v>LOSS</v>
      </c>
      <c r="O269" s="1">
        <f t="shared" si="5"/>
        <v>-1</v>
      </c>
    </row>
    <row r="270" ht="15.75" customHeight="1">
      <c r="A270" s="1">
        <v>6.0</v>
      </c>
      <c r="B270" s="24" t="s">
        <v>1516</v>
      </c>
      <c r="C270" s="22">
        <v>0.9166666666666666</v>
      </c>
      <c r="D270" s="67" t="s">
        <v>19</v>
      </c>
      <c r="E270" s="13" t="s">
        <v>272</v>
      </c>
      <c r="F270" s="1" t="s">
        <v>363</v>
      </c>
      <c r="G270" s="24" t="s">
        <v>59</v>
      </c>
      <c r="H270" s="25">
        <v>12180.0</v>
      </c>
      <c r="I270" s="26">
        <v>0.0</v>
      </c>
      <c r="J270" s="17" t="s">
        <v>354</v>
      </c>
      <c r="K270" s="1">
        <f t="shared" si="1"/>
        <v>0</v>
      </c>
      <c r="L270" s="1">
        <f t="shared" si="2"/>
        <v>0</v>
      </c>
      <c r="M270" s="1" t="str">
        <f t="shared" si="62"/>
        <v>#N/A</v>
      </c>
      <c r="N270" s="1" t="str">
        <f t="shared" si="4"/>
        <v>DRAW</v>
      </c>
      <c r="O270" s="1">
        <f t="shared" si="5"/>
        <v>0</v>
      </c>
    </row>
    <row r="271" ht="15.75" customHeight="1">
      <c r="A271" s="24" t="s">
        <v>342</v>
      </c>
      <c r="B271" s="24" t="s">
        <v>1517</v>
      </c>
      <c r="C271" s="22">
        <v>0.875</v>
      </c>
      <c r="D271" s="67" t="s">
        <v>19</v>
      </c>
      <c r="E271" s="13"/>
      <c r="F271" s="1" t="s">
        <v>256</v>
      </c>
      <c r="G271" s="24" t="s">
        <v>59</v>
      </c>
      <c r="H271" s="25">
        <v>37858.0</v>
      </c>
      <c r="I271" s="26">
        <v>0.08611111111111111</v>
      </c>
      <c r="J271" s="17" t="s">
        <v>354</v>
      </c>
      <c r="K271" s="1">
        <f t="shared" si="1"/>
        <v>2</v>
      </c>
      <c r="L271" s="1">
        <f t="shared" si="2"/>
        <v>4</v>
      </c>
      <c r="M271" s="1" t="str">
        <f t="shared" si="62"/>
        <v>#N/A</v>
      </c>
      <c r="N271" s="1" t="str">
        <f t="shared" si="4"/>
        <v>WIN</v>
      </c>
      <c r="O271" s="1">
        <f t="shared" si="5"/>
        <v>1</v>
      </c>
    </row>
    <row r="272" ht="15.75" customHeight="1">
      <c r="A272" s="24" t="s">
        <v>149</v>
      </c>
      <c r="B272" s="24" t="s">
        <v>1518</v>
      </c>
      <c r="C272" s="22">
        <v>0.8958333333333334</v>
      </c>
      <c r="D272" s="67" t="s">
        <v>24</v>
      </c>
      <c r="E272" s="13"/>
      <c r="F272" s="1" t="s">
        <v>673</v>
      </c>
      <c r="G272" s="24" t="s">
        <v>483</v>
      </c>
      <c r="H272" s="25">
        <v>79774.0</v>
      </c>
      <c r="I272" s="26">
        <v>0.08333333333333333</v>
      </c>
      <c r="J272" s="1" t="s">
        <v>591</v>
      </c>
      <c r="K272" s="1">
        <f t="shared" si="1"/>
        <v>2</v>
      </c>
      <c r="L272" s="1">
        <f t="shared" si="2"/>
        <v>0</v>
      </c>
      <c r="M272" s="1" t="str">
        <f t="shared" si="62"/>
        <v>#N/A</v>
      </c>
      <c r="N272" s="1" t="str">
        <f t="shared" si="4"/>
        <v>WIN</v>
      </c>
      <c r="O272" s="1">
        <f t="shared" si="5"/>
        <v>1</v>
      </c>
    </row>
    <row r="273" ht="15.75" customHeight="1">
      <c r="A273" s="1">
        <v>6.0</v>
      </c>
      <c r="B273" s="24" t="s">
        <v>1519</v>
      </c>
      <c r="C273" s="22">
        <v>0.8958333333333334</v>
      </c>
      <c r="D273" s="67" t="s">
        <v>19</v>
      </c>
      <c r="E273" s="13" t="s">
        <v>33</v>
      </c>
      <c r="F273" s="1" t="s">
        <v>48</v>
      </c>
      <c r="G273" s="24" t="s">
        <v>21</v>
      </c>
      <c r="H273" s="25">
        <v>29850.0</v>
      </c>
      <c r="I273" s="26">
        <v>0.04375</v>
      </c>
      <c r="J273" s="17" t="s">
        <v>22</v>
      </c>
      <c r="K273" s="1">
        <f t="shared" si="1"/>
        <v>1</v>
      </c>
      <c r="L273" s="1">
        <f t="shared" si="2"/>
        <v>3</v>
      </c>
      <c r="M273" s="1" t="str">
        <f t="shared" ref="M273:M274" si="63">+CONCAT(K273,L273)</f>
        <v>13</v>
      </c>
      <c r="N273" s="1" t="str">
        <f t="shared" si="4"/>
        <v>WIN</v>
      </c>
      <c r="O273" s="1">
        <f t="shared" si="5"/>
        <v>1</v>
      </c>
    </row>
    <row r="274" ht="15.75" customHeight="1">
      <c r="A274" s="1">
        <v>27.0</v>
      </c>
      <c r="B274" s="24" t="s">
        <v>1520</v>
      </c>
      <c r="C274" s="22">
        <v>0.875</v>
      </c>
      <c r="D274" s="67" t="s">
        <v>24</v>
      </c>
      <c r="E274" s="13" t="s">
        <v>30</v>
      </c>
      <c r="F274" s="1" t="s">
        <v>105</v>
      </c>
      <c r="G274" s="24" t="s">
        <v>59</v>
      </c>
      <c r="H274" s="25">
        <v>42319.0</v>
      </c>
      <c r="I274" s="26">
        <v>0.125</v>
      </c>
      <c r="J274" s="17" t="s">
        <v>53</v>
      </c>
      <c r="K274" s="1">
        <f t="shared" si="1"/>
        <v>3</v>
      </c>
      <c r="L274" s="1">
        <f t="shared" si="2"/>
        <v>0</v>
      </c>
      <c r="M274" s="1" t="str">
        <f t="shared" si="63"/>
        <v>30</v>
      </c>
      <c r="N274" s="1" t="str">
        <f t="shared" si="4"/>
        <v>WIN</v>
      </c>
      <c r="O274" s="1">
        <f t="shared" si="5"/>
        <v>1</v>
      </c>
    </row>
    <row r="275" ht="15.75" customHeight="1">
      <c r="A275" s="24" t="s">
        <v>160</v>
      </c>
      <c r="B275" s="24" t="s">
        <v>1521</v>
      </c>
      <c r="C275" s="22">
        <v>0.7916666666666666</v>
      </c>
      <c r="D275" s="67" t="s">
        <v>24</v>
      </c>
      <c r="E275" s="13"/>
      <c r="F275" s="1" t="s">
        <v>497</v>
      </c>
      <c r="G275" s="24" t="s">
        <v>59</v>
      </c>
      <c r="H275" s="25">
        <v>43216.0</v>
      </c>
      <c r="I275" s="26">
        <v>0.20833333333333334</v>
      </c>
      <c r="J275" s="1" t="s">
        <v>437</v>
      </c>
      <c r="K275" s="1">
        <f t="shared" si="1"/>
        <v>5</v>
      </c>
      <c r="L275" s="1">
        <f t="shared" si="2"/>
        <v>0</v>
      </c>
      <c r="M275" s="1" t="str">
        <f>+CONCAT(K275,"-",L275)</f>
        <v>#N/A</v>
      </c>
      <c r="N275" s="1" t="str">
        <f t="shared" si="4"/>
        <v>WIN</v>
      </c>
      <c r="O275" s="1">
        <f t="shared" si="5"/>
        <v>1</v>
      </c>
    </row>
    <row r="276" ht="15.75" customHeight="1">
      <c r="A276" s="24" t="s">
        <v>17</v>
      </c>
      <c r="B276" s="24" t="s">
        <v>1522</v>
      </c>
      <c r="C276" s="22">
        <v>0.875</v>
      </c>
      <c r="D276" s="67" t="s">
        <v>24</v>
      </c>
      <c r="E276" s="13"/>
      <c r="F276" s="1" t="s">
        <v>1523</v>
      </c>
      <c r="G276" s="24" t="s">
        <v>21</v>
      </c>
      <c r="H276" s="25">
        <v>45097.0</v>
      </c>
      <c r="I276" s="26">
        <v>0.20833333333333334</v>
      </c>
      <c r="J276" s="17" t="s">
        <v>53</v>
      </c>
      <c r="K276" s="1">
        <f t="shared" si="1"/>
        <v>5</v>
      </c>
      <c r="L276" s="1">
        <f t="shared" si="2"/>
        <v>0</v>
      </c>
      <c r="M276" s="1" t="str">
        <f>+CONCAT(K276,L276)</f>
        <v>50</v>
      </c>
      <c r="N276" s="1" t="str">
        <f t="shared" si="4"/>
        <v>WIN</v>
      </c>
      <c r="O276" s="1">
        <f t="shared" si="5"/>
        <v>1</v>
      </c>
    </row>
    <row r="277" ht="15.75" customHeight="1">
      <c r="A277" s="24" t="s">
        <v>331</v>
      </c>
      <c r="B277" s="24" t="s">
        <v>1524</v>
      </c>
      <c r="C277" s="22">
        <v>0.875</v>
      </c>
      <c r="D277" s="67" t="s">
        <v>19</v>
      </c>
      <c r="E277" s="13"/>
      <c r="F277" s="1" t="s">
        <v>333</v>
      </c>
      <c r="G277" s="24" t="s">
        <v>59</v>
      </c>
      <c r="H277" s="25">
        <v>11258.0</v>
      </c>
      <c r="I277" s="26">
        <v>0.08611111111111111</v>
      </c>
      <c r="J277" s="17" t="s">
        <v>268</v>
      </c>
      <c r="K277" s="1">
        <f t="shared" si="1"/>
        <v>2</v>
      </c>
      <c r="L277" s="1">
        <f t="shared" si="2"/>
        <v>4</v>
      </c>
      <c r="M277" s="1" t="str">
        <f t="shared" ref="M277:M280" si="64">+CONCAT(K277,"-",L277)</f>
        <v>#N/A</v>
      </c>
      <c r="N277" s="1" t="str">
        <f t="shared" si="4"/>
        <v>WIN</v>
      </c>
      <c r="O277" s="1">
        <f t="shared" si="5"/>
        <v>1</v>
      </c>
    </row>
    <row r="278" ht="15.75" customHeight="1">
      <c r="A278" s="1">
        <v>30.0</v>
      </c>
      <c r="B278" s="24" t="s">
        <v>1525</v>
      </c>
      <c r="C278" s="22">
        <v>0.8958333333333334</v>
      </c>
      <c r="D278" s="67" t="s">
        <v>19</v>
      </c>
      <c r="E278" s="13" t="s">
        <v>30</v>
      </c>
      <c r="F278" s="1" t="s">
        <v>549</v>
      </c>
      <c r="G278" s="24" t="s">
        <v>59</v>
      </c>
      <c r="H278" s="25">
        <v>19515.0</v>
      </c>
      <c r="I278" s="26">
        <v>0.16944444444444445</v>
      </c>
      <c r="J278" s="1" t="s">
        <v>500</v>
      </c>
      <c r="K278" s="1">
        <f t="shared" si="1"/>
        <v>4</v>
      </c>
      <c r="L278" s="1">
        <f t="shared" si="2"/>
        <v>4</v>
      </c>
      <c r="M278" s="1" t="str">
        <f t="shared" si="64"/>
        <v>#N/A</v>
      </c>
      <c r="N278" s="1" t="str">
        <f t="shared" si="4"/>
        <v>DRAW</v>
      </c>
      <c r="O278" s="1">
        <f t="shared" si="5"/>
        <v>0</v>
      </c>
    </row>
    <row r="279" ht="15.75" customHeight="1">
      <c r="A279" s="1">
        <v>33.0</v>
      </c>
      <c r="B279" s="24" t="s">
        <v>1526</v>
      </c>
      <c r="C279" s="22">
        <v>0.8125</v>
      </c>
      <c r="D279" s="67" t="s">
        <v>24</v>
      </c>
      <c r="E279" s="13" t="s">
        <v>30</v>
      </c>
      <c r="F279" s="1" t="s">
        <v>322</v>
      </c>
      <c r="G279" s="24" t="s">
        <v>21</v>
      </c>
      <c r="H279" s="25">
        <v>76061.0</v>
      </c>
      <c r="I279" s="26">
        <v>0.041666666666666664</v>
      </c>
      <c r="J279" s="17" t="s">
        <v>268</v>
      </c>
      <c r="K279" s="1">
        <f t="shared" si="1"/>
        <v>1</v>
      </c>
      <c r="L279" s="1">
        <f t="shared" si="2"/>
        <v>0</v>
      </c>
      <c r="M279" s="1" t="str">
        <f t="shared" si="64"/>
        <v>#N/A</v>
      </c>
      <c r="N279" s="1" t="str">
        <f t="shared" si="4"/>
        <v>WIN</v>
      </c>
      <c r="O279" s="1">
        <f t="shared" si="5"/>
        <v>1</v>
      </c>
    </row>
    <row r="280" ht="15.75" customHeight="1">
      <c r="A280" s="24" t="s">
        <v>416</v>
      </c>
      <c r="B280" s="24" t="s">
        <v>1527</v>
      </c>
      <c r="C280" s="22">
        <v>0.875</v>
      </c>
      <c r="D280" s="67" t="s">
        <v>19</v>
      </c>
      <c r="E280" s="13"/>
      <c r="F280" s="1" t="s">
        <v>421</v>
      </c>
      <c r="G280" s="24" t="s">
        <v>59</v>
      </c>
      <c r="H280" s="25">
        <v>31378.0</v>
      </c>
      <c r="I280" s="26">
        <v>6.944444444444445E-4</v>
      </c>
      <c r="J280" s="17" t="s">
        <v>354</v>
      </c>
      <c r="K280" s="1">
        <f t="shared" si="1"/>
        <v>0</v>
      </c>
      <c r="L280" s="1">
        <f t="shared" si="2"/>
        <v>1</v>
      </c>
      <c r="M280" s="1" t="str">
        <f t="shared" si="64"/>
        <v>#N/A</v>
      </c>
      <c r="N280" s="1" t="str">
        <f t="shared" si="4"/>
        <v>WIN</v>
      </c>
      <c r="O280" s="1">
        <f t="shared" si="5"/>
        <v>1</v>
      </c>
    </row>
    <row r="281" ht="15.75" customHeight="1">
      <c r="A281" s="1">
        <v>19.0</v>
      </c>
      <c r="B281" s="24" t="s">
        <v>1528</v>
      </c>
      <c r="C281" s="22">
        <v>0.7916666666666666</v>
      </c>
      <c r="D281" s="67" t="s">
        <v>19</v>
      </c>
      <c r="E281" s="13" t="s">
        <v>87</v>
      </c>
      <c r="F281" s="1" t="s">
        <v>90</v>
      </c>
      <c r="G281" s="24" t="s">
        <v>21</v>
      </c>
      <c r="H281" s="25">
        <v>22352.0</v>
      </c>
      <c r="I281" s="26">
        <v>0.04513888888888889</v>
      </c>
      <c r="J281" s="17" t="s">
        <v>53</v>
      </c>
      <c r="K281" s="1">
        <f t="shared" si="1"/>
        <v>1</v>
      </c>
      <c r="L281" s="1">
        <f t="shared" si="2"/>
        <v>5</v>
      </c>
      <c r="M281" s="1" t="str">
        <f>+CONCAT(K281,L281)</f>
        <v>15</v>
      </c>
      <c r="N281" s="1" t="str">
        <f t="shared" si="4"/>
        <v>WIN</v>
      </c>
      <c r="O281" s="1">
        <f t="shared" si="5"/>
        <v>1</v>
      </c>
    </row>
    <row r="282" ht="15.75" customHeight="1">
      <c r="A282" s="24" t="s">
        <v>331</v>
      </c>
      <c r="B282" s="24" t="s">
        <v>1529</v>
      </c>
      <c r="C282" s="22">
        <v>0.875</v>
      </c>
      <c r="D282" s="67" t="s">
        <v>19</v>
      </c>
      <c r="E282" s="13"/>
      <c r="F282" s="1" t="s">
        <v>153</v>
      </c>
      <c r="G282" s="24" t="s">
        <v>59</v>
      </c>
      <c r="H282" s="25">
        <v>71368.0</v>
      </c>
      <c r="I282" s="26">
        <v>0.041666666666666664</v>
      </c>
      <c r="J282" s="17" t="s">
        <v>268</v>
      </c>
      <c r="K282" s="1">
        <f t="shared" si="1"/>
        <v>1</v>
      </c>
      <c r="L282" s="1">
        <f t="shared" si="2"/>
        <v>0</v>
      </c>
      <c r="M282" s="1" t="str">
        <f t="shared" ref="M282:M284" si="65">+CONCAT(K282,"-",L282)</f>
        <v>#N/A</v>
      </c>
      <c r="N282" s="1" t="str">
        <f t="shared" si="4"/>
        <v>LOSS</v>
      </c>
      <c r="O282" s="1">
        <f t="shared" si="5"/>
        <v>-1</v>
      </c>
    </row>
    <row r="283" ht="15.75" customHeight="1">
      <c r="A283" s="24" t="s">
        <v>485</v>
      </c>
      <c r="B283" s="24" t="s">
        <v>1530</v>
      </c>
      <c r="C283" s="22">
        <v>0.7881944444444444</v>
      </c>
      <c r="D283" s="67" t="s">
        <v>24</v>
      </c>
      <c r="E283" s="13"/>
      <c r="F283" s="1" t="s">
        <v>489</v>
      </c>
      <c r="G283" s="24" t="s">
        <v>59</v>
      </c>
      <c r="H283" s="25">
        <v>67023.0</v>
      </c>
      <c r="I283" s="26">
        <v>0.0</v>
      </c>
      <c r="J283" s="1" t="s">
        <v>437</v>
      </c>
      <c r="K283" s="1">
        <f t="shared" si="1"/>
        <v>0</v>
      </c>
      <c r="L283" s="1">
        <f t="shared" si="2"/>
        <v>0</v>
      </c>
      <c r="M283" s="1" t="str">
        <f t="shared" si="65"/>
        <v>#N/A</v>
      </c>
      <c r="N283" s="1" t="str">
        <f t="shared" si="4"/>
        <v>DRAW</v>
      </c>
      <c r="O283" s="1">
        <f t="shared" si="5"/>
        <v>0</v>
      </c>
    </row>
    <row r="284" ht="15.75" customHeight="1">
      <c r="A284" s="24" t="s">
        <v>651</v>
      </c>
      <c r="B284" s="24" t="s">
        <v>1531</v>
      </c>
      <c r="C284" s="22">
        <v>0.8645833333333334</v>
      </c>
      <c r="D284" s="67" t="s">
        <v>24</v>
      </c>
      <c r="E284" s="13"/>
      <c r="F284" s="1" t="s">
        <v>655</v>
      </c>
      <c r="G284" s="24" t="s">
        <v>59</v>
      </c>
      <c r="H284" s="25">
        <v>48336.0</v>
      </c>
      <c r="I284" s="26">
        <v>0.08333333333333333</v>
      </c>
      <c r="J284" s="1" t="s">
        <v>591</v>
      </c>
      <c r="K284" s="1">
        <f t="shared" si="1"/>
        <v>2</v>
      </c>
      <c r="L284" s="1">
        <f t="shared" si="2"/>
        <v>0</v>
      </c>
      <c r="M284" s="1" t="str">
        <f t="shared" si="65"/>
        <v>#N/A</v>
      </c>
      <c r="N284" s="1" t="str">
        <f t="shared" si="4"/>
        <v>WIN</v>
      </c>
      <c r="O284" s="1">
        <f t="shared" si="5"/>
        <v>1</v>
      </c>
    </row>
    <row r="285" ht="15.75" customHeight="1">
      <c r="A285" s="24" t="s">
        <v>154</v>
      </c>
      <c r="B285" s="24" t="s">
        <v>1532</v>
      </c>
      <c r="C285" s="22">
        <v>0.875</v>
      </c>
      <c r="D285" s="67" t="s">
        <v>19</v>
      </c>
      <c r="E285" s="13"/>
      <c r="F285" s="1" t="s">
        <v>153</v>
      </c>
      <c r="G285" s="24" t="s">
        <v>21</v>
      </c>
      <c r="H285" s="27">
        <v>75504.0</v>
      </c>
      <c r="I285" s="28" t="s">
        <v>156</v>
      </c>
      <c r="J285" s="17" t="s">
        <v>53</v>
      </c>
      <c r="K285" s="1" t="str">
        <f t="shared" si="1"/>
        <v>#VALUE!</v>
      </c>
      <c r="L285" s="1" t="str">
        <f t="shared" si="2"/>
        <v>#VALUE!</v>
      </c>
      <c r="M285" s="1" t="str">
        <f>+CONCAT(K285,L285)</f>
        <v>#VALUE!</v>
      </c>
      <c r="N285" s="1" t="str">
        <f t="shared" si="4"/>
        <v>#VALUE!</v>
      </c>
      <c r="O285" s="1" t="str">
        <f t="shared" si="5"/>
        <v>#VALUE!</v>
      </c>
    </row>
    <row r="286" ht="15.75" customHeight="1">
      <c r="A286" s="24" t="s">
        <v>561</v>
      </c>
      <c r="B286" s="24" t="s">
        <v>1533</v>
      </c>
      <c r="C286" s="22">
        <v>0.875</v>
      </c>
      <c r="D286" s="67" t="s">
        <v>19</v>
      </c>
      <c r="E286" s="13"/>
      <c r="F286" s="1" t="s">
        <v>153</v>
      </c>
      <c r="G286" s="24" t="s">
        <v>59</v>
      </c>
      <c r="H286" s="25">
        <v>70915.0</v>
      </c>
      <c r="I286" s="26">
        <v>0.04236111111111111</v>
      </c>
      <c r="J286" s="1" t="s">
        <v>500</v>
      </c>
      <c r="K286" s="1">
        <f t="shared" si="1"/>
        <v>1</v>
      </c>
      <c r="L286" s="1">
        <f t="shared" si="2"/>
        <v>1</v>
      </c>
      <c r="M286" s="1" t="str">
        <f t="shared" ref="M286:M287" si="66">+CONCAT(K286,"-",L286)</f>
        <v>#N/A</v>
      </c>
      <c r="N286" s="1" t="str">
        <f t="shared" si="4"/>
        <v>DRAW</v>
      </c>
      <c r="O286" s="1">
        <f t="shared" si="5"/>
        <v>0</v>
      </c>
    </row>
    <row r="287" ht="15.75" customHeight="1">
      <c r="A287" s="24" t="s">
        <v>154</v>
      </c>
      <c r="B287" s="24" t="s">
        <v>1534</v>
      </c>
      <c r="C287" s="22">
        <v>0.875</v>
      </c>
      <c r="D287" s="67" t="s">
        <v>19</v>
      </c>
      <c r="E287" s="13"/>
      <c r="F287" s="1" t="s">
        <v>576</v>
      </c>
      <c r="G287" s="24" t="s">
        <v>483</v>
      </c>
      <c r="H287" s="25">
        <v>52212.0</v>
      </c>
      <c r="I287" s="26">
        <v>0.16666666666666666</v>
      </c>
      <c r="J287" s="1" t="s">
        <v>500</v>
      </c>
      <c r="K287" s="1">
        <f t="shared" si="1"/>
        <v>4</v>
      </c>
      <c r="L287" s="1">
        <f t="shared" si="2"/>
        <v>0</v>
      </c>
      <c r="M287" s="1" t="str">
        <f t="shared" si="66"/>
        <v>#N/A</v>
      </c>
      <c r="N287" s="1" t="str">
        <f t="shared" si="4"/>
        <v>LOSS</v>
      </c>
      <c r="O287" s="1">
        <f t="shared" si="5"/>
        <v>-1</v>
      </c>
    </row>
    <row r="288" ht="15.75" customHeight="1">
      <c r="A288" s="24" t="s">
        <v>245</v>
      </c>
      <c r="B288" s="24" t="s">
        <v>1535</v>
      </c>
      <c r="C288" s="22">
        <v>0.78125</v>
      </c>
      <c r="D288" s="67" t="s">
        <v>19</v>
      </c>
      <c r="E288" s="13"/>
      <c r="F288" s="1" t="s">
        <v>251</v>
      </c>
      <c r="G288" s="24" t="s">
        <v>59</v>
      </c>
      <c r="H288" s="25">
        <v>49147.0</v>
      </c>
      <c r="I288" s="26">
        <v>0.041666666666666664</v>
      </c>
      <c r="J288" s="17" t="s">
        <v>175</v>
      </c>
      <c r="K288" s="1">
        <f t="shared" si="1"/>
        <v>1</v>
      </c>
      <c r="L288" s="1">
        <f t="shared" si="2"/>
        <v>0</v>
      </c>
      <c r="M288" s="1" t="str">
        <f t="shared" ref="M288:M289" si="67">+CONCAT(K288,L288)</f>
        <v>10</v>
      </c>
      <c r="N288" s="1" t="str">
        <f t="shared" si="4"/>
        <v>LOSS</v>
      </c>
      <c r="O288" s="1">
        <f t="shared" si="5"/>
        <v>-1</v>
      </c>
    </row>
    <row r="289" ht="15.75" customHeight="1">
      <c r="A289" s="1">
        <v>14.0</v>
      </c>
      <c r="B289" s="24" t="s">
        <v>1536</v>
      </c>
      <c r="C289" s="22">
        <v>0.8958333333333334</v>
      </c>
      <c r="D289" s="67" t="s">
        <v>19</v>
      </c>
      <c r="E289" s="13" t="s">
        <v>30</v>
      </c>
      <c r="F289" s="1" t="s">
        <v>293</v>
      </c>
      <c r="G289" s="24" t="s">
        <v>59</v>
      </c>
      <c r="H289" s="25">
        <v>21603.0</v>
      </c>
      <c r="I289" s="26">
        <v>0.043055555555555555</v>
      </c>
      <c r="J289" s="17" t="s">
        <v>268</v>
      </c>
      <c r="K289" s="1">
        <f t="shared" si="1"/>
        <v>1</v>
      </c>
      <c r="L289" s="1">
        <f t="shared" si="2"/>
        <v>2</v>
      </c>
      <c r="M289" s="1" t="str">
        <f t="shared" si="67"/>
        <v>12</v>
      </c>
      <c r="N289" s="1" t="str">
        <f t="shared" si="4"/>
        <v>WIN</v>
      </c>
      <c r="O289" s="1">
        <f t="shared" si="5"/>
        <v>1</v>
      </c>
    </row>
    <row r="290" ht="15.75" customHeight="1">
      <c r="A290" s="24" t="s">
        <v>149</v>
      </c>
      <c r="B290" s="24" t="s">
        <v>1537</v>
      </c>
      <c r="C290" s="22">
        <v>0.8645833333333334</v>
      </c>
      <c r="D290" s="67" t="s">
        <v>19</v>
      </c>
      <c r="E290" s="13"/>
      <c r="F290" s="1" t="s">
        <v>664</v>
      </c>
      <c r="G290" s="24" t="s">
        <v>483</v>
      </c>
      <c r="H290" s="25">
        <v>56580.0</v>
      </c>
      <c r="I290" s="26">
        <v>0.125</v>
      </c>
      <c r="J290" s="1" t="s">
        <v>591</v>
      </c>
      <c r="K290" s="1">
        <f t="shared" si="1"/>
        <v>3</v>
      </c>
      <c r="L290" s="1">
        <f t="shared" si="2"/>
        <v>0</v>
      </c>
      <c r="M290" s="1" t="str">
        <f t="shared" ref="M290:M292" si="68">+CONCAT(K290,"-",L290)</f>
        <v>#N/A</v>
      </c>
      <c r="N290" s="1" t="str">
        <f t="shared" si="4"/>
        <v>LOSS</v>
      </c>
      <c r="O290" s="1">
        <f t="shared" si="5"/>
        <v>-1</v>
      </c>
    </row>
    <row r="291" ht="15.75" customHeight="1">
      <c r="A291" s="1">
        <v>36.0</v>
      </c>
      <c r="B291" s="24" t="s">
        <v>1538</v>
      </c>
      <c r="C291" s="22">
        <v>0.8958333333333334</v>
      </c>
      <c r="D291" s="67" t="s">
        <v>24</v>
      </c>
      <c r="E291" s="13" t="s">
        <v>33</v>
      </c>
      <c r="F291" s="1" t="s">
        <v>283</v>
      </c>
      <c r="G291" s="24" t="s">
        <v>21</v>
      </c>
      <c r="H291" s="25">
        <v>55899.0</v>
      </c>
      <c r="I291" s="26">
        <v>0.12569444444444444</v>
      </c>
      <c r="J291" s="17" t="s">
        <v>354</v>
      </c>
      <c r="K291" s="1">
        <f t="shared" si="1"/>
        <v>3</v>
      </c>
      <c r="L291" s="1">
        <f t="shared" si="2"/>
        <v>1</v>
      </c>
      <c r="M291" s="1" t="str">
        <f t="shared" si="68"/>
        <v>#N/A</v>
      </c>
      <c r="N291" s="1" t="str">
        <f t="shared" si="4"/>
        <v>WIN</v>
      </c>
      <c r="O291" s="1">
        <f t="shared" si="5"/>
        <v>1</v>
      </c>
    </row>
    <row r="292" ht="15.75" customHeight="1">
      <c r="A292" s="24" t="s">
        <v>485</v>
      </c>
      <c r="B292" s="24" t="s">
        <v>1539</v>
      </c>
      <c r="C292" s="22">
        <v>0.875</v>
      </c>
      <c r="D292" s="67" t="s">
        <v>19</v>
      </c>
      <c r="E292" s="13"/>
      <c r="F292" s="1" t="s">
        <v>153</v>
      </c>
      <c r="G292" s="24" t="s">
        <v>418</v>
      </c>
      <c r="H292" s="25">
        <v>71818.0</v>
      </c>
      <c r="I292" s="26">
        <v>0.043055555555555555</v>
      </c>
      <c r="J292" s="1" t="s">
        <v>437</v>
      </c>
      <c r="K292" s="1">
        <f t="shared" si="1"/>
        <v>1</v>
      </c>
      <c r="L292" s="1">
        <f t="shared" si="2"/>
        <v>2</v>
      </c>
      <c r="M292" s="1" t="str">
        <f t="shared" si="68"/>
        <v>#N/A</v>
      </c>
      <c r="N292" s="1" t="str">
        <f t="shared" si="4"/>
        <v>WIN</v>
      </c>
      <c r="O292" s="1">
        <f t="shared" si="5"/>
        <v>1</v>
      </c>
    </row>
    <row r="293" ht="15.75" customHeight="1">
      <c r="A293" s="24" t="s">
        <v>145</v>
      </c>
      <c r="B293" s="24" t="s">
        <v>1540</v>
      </c>
      <c r="C293" s="22">
        <v>0.78125</v>
      </c>
      <c r="D293" s="67" t="s">
        <v>24</v>
      </c>
      <c r="E293" s="13"/>
      <c r="F293" s="1" t="s">
        <v>140</v>
      </c>
      <c r="G293" s="24" t="s">
        <v>21</v>
      </c>
      <c r="H293" s="25">
        <v>47111.0</v>
      </c>
      <c r="I293" s="26">
        <v>0.12569444444444444</v>
      </c>
      <c r="J293" s="17" t="s">
        <v>53</v>
      </c>
      <c r="K293" s="1">
        <f t="shared" si="1"/>
        <v>3</v>
      </c>
      <c r="L293" s="1">
        <f t="shared" si="2"/>
        <v>1</v>
      </c>
      <c r="M293" s="1" t="str">
        <f>+CONCAT(K293,L293)</f>
        <v>31</v>
      </c>
      <c r="N293" s="1" t="str">
        <f t="shared" si="4"/>
        <v>WIN</v>
      </c>
      <c r="O293" s="1">
        <f t="shared" si="5"/>
        <v>1</v>
      </c>
    </row>
    <row r="294" ht="15.75" customHeight="1">
      <c r="A294" s="24" t="s">
        <v>561</v>
      </c>
      <c r="B294" s="24" t="s">
        <v>1541</v>
      </c>
      <c r="C294" s="22">
        <v>0.875</v>
      </c>
      <c r="D294" s="67" t="s">
        <v>24</v>
      </c>
      <c r="E294" s="13"/>
      <c r="F294" s="1" t="s">
        <v>565</v>
      </c>
      <c r="G294" s="24" t="s">
        <v>59</v>
      </c>
      <c r="H294" s="25">
        <v>69961.0</v>
      </c>
      <c r="I294" s="26">
        <v>0.04236111111111111</v>
      </c>
      <c r="J294" s="1" t="s">
        <v>500</v>
      </c>
      <c r="K294" s="1">
        <f t="shared" si="1"/>
        <v>1</v>
      </c>
      <c r="L294" s="1">
        <f t="shared" si="2"/>
        <v>1</v>
      </c>
      <c r="M294" s="1" t="str">
        <f>+CONCAT(K294,"-",L294)</f>
        <v>#N/A</v>
      </c>
      <c r="N294" s="1" t="str">
        <f t="shared" si="4"/>
        <v>DRAW</v>
      </c>
      <c r="O294" s="1">
        <f t="shared" si="5"/>
        <v>0</v>
      </c>
    </row>
    <row r="295" ht="15.75" customHeight="1">
      <c r="A295" s="24" t="s">
        <v>145</v>
      </c>
      <c r="B295" s="24" t="s">
        <v>1542</v>
      </c>
      <c r="C295" s="22">
        <v>0.875</v>
      </c>
      <c r="D295" s="67" t="s">
        <v>24</v>
      </c>
      <c r="E295" s="13"/>
      <c r="F295" s="1" t="s">
        <v>256</v>
      </c>
      <c r="G295" s="24" t="s">
        <v>59</v>
      </c>
      <c r="H295" s="25">
        <v>50301.0</v>
      </c>
      <c r="I295" s="26">
        <v>0.12569444444444444</v>
      </c>
      <c r="J295" s="17" t="s">
        <v>175</v>
      </c>
      <c r="K295" s="1">
        <f t="shared" si="1"/>
        <v>3</v>
      </c>
      <c r="L295" s="1">
        <f t="shared" si="2"/>
        <v>1</v>
      </c>
      <c r="M295" s="1" t="str">
        <f>+CONCAT(K295,L295)</f>
        <v>31</v>
      </c>
      <c r="N295" s="1" t="str">
        <f t="shared" si="4"/>
        <v>WIN</v>
      </c>
      <c r="O295" s="1">
        <f t="shared" si="5"/>
        <v>1</v>
      </c>
    </row>
    <row r="296" ht="15.75" customHeight="1">
      <c r="A296" s="24" t="s">
        <v>651</v>
      </c>
      <c r="B296" s="24" t="s">
        <v>1543</v>
      </c>
      <c r="C296" s="22">
        <v>0.8645833333333334</v>
      </c>
      <c r="D296" s="67" t="s">
        <v>24</v>
      </c>
      <c r="E296" s="13"/>
      <c r="F296" s="1" t="s">
        <v>653</v>
      </c>
      <c r="G296" s="24" t="s">
        <v>59</v>
      </c>
      <c r="H296" s="25">
        <v>78656.0</v>
      </c>
      <c r="I296" s="26">
        <v>0.125</v>
      </c>
      <c r="J296" s="1" t="s">
        <v>591</v>
      </c>
      <c r="K296" s="1">
        <f t="shared" si="1"/>
        <v>3</v>
      </c>
      <c r="L296" s="1">
        <f t="shared" si="2"/>
        <v>0</v>
      </c>
      <c r="M296" s="1" t="str">
        <f t="shared" ref="M296:M298" si="69">+CONCAT(K296,"-",L296)</f>
        <v>#N/A</v>
      </c>
      <c r="N296" s="1" t="str">
        <f t="shared" si="4"/>
        <v>WIN</v>
      </c>
      <c r="O296" s="1">
        <f t="shared" si="5"/>
        <v>1</v>
      </c>
    </row>
    <row r="297" ht="15.75" customHeight="1">
      <c r="A297" s="24" t="s">
        <v>331</v>
      </c>
      <c r="B297" s="24" t="s">
        <v>1544</v>
      </c>
      <c r="C297" s="22">
        <v>0.875</v>
      </c>
      <c r="D297" s="67" t="s">
        <v>19</v>
      </c>
      <c r="E297" s="13"/>
      <c r="F297" s="1" t="s">
        <v>132</v>
      </c>
      <c r="G297" s="24" t="s">
        <v>59</v>
      </c>
      <c r="H297" s="27">
        <v>75000.0</v>
      </c>
      <c r="I297" s="26">
        <v>0.08333333333333333</v>
      </c>
      <c r="J297" s="17" t="s">
        <v>268</v>
      </c>
      <c r="K297" s="1">
        <f t="shared" si="1"/>
        <v>2</v>
      </c>
      <c r="L297" s="1">
        <f t="shared" si="2"/>
        <v>0</v>
      </c>
      <c r="M297" s="1" t="str">
        <f t="shared" si="69"/>
        <v>#N/A</v>
      </c>
      <c r="N297" s="1" t="str">
        <f t="shared" si="4"/>
        <v>LOSS</v>
      </c>
      <c r="O297" s="1">
        <f t="shared" si="5"/>
        <v>-1</v>
      </c>
    </row>
    <row r="298" ht="15.75" customHeight="1">
      <c r="A298" s="24" t="s">
        <v>416</v>
      </c>
      <c r="B298" s="24" t="s">
        <v>1545</v>
      </c>
      <c r="C298" s="22">
        <v>0.875</v>
      </c>
      <c r="D298" s="67" t="s">
        <v>24</v>
      </c>
      <c r="E298" s="13"/>
      <c r="F298" s="1" t="s">
        <v>132</v>
      </c>
      <c r="G298" s="24" t="s">
        <v>418</v>
      </c>
      <c r="H298" s="25">
        <v>39737.0</v>
      </c>
      <c r="I298" s="26">
        <v>0.0020833333333333333</v>
      </c>
      <c r="J298" s="17" t="s">
        <v>354</v>
      </c>
      <c r="K298" s="1">
        <f t="shared" si="1"/>
        <v>0</v>
      </c>
      <c r="L298" s="1">
        <f t="shared" si="2"/>
        <v>3</v>
      </c>
      <c r="M298" s="1" t="str">
        <f t="shared" si="69"/>
        <v>#N/A</v>
      </c>
      <c r="N298" s="1" t="str">
        <f t="shared" si="4"/>
        <v>LOSS</v>
      </c>
      <c r="O298" s="1">
        <f t="shared" si="5"/>
        <v>-1</v>
      </c>
    </row>
    <row r="299" ht="15.75" customHeight="1">
      <c r="A299" s="24" t="s">
        <v>149</v>
      </c>
      <c r="B299" s="24" t="s">
        <v>1546</v>
      </c>
      <c r="C299" s="22">
        <v>0.875</v>
      </c>
      <c r="D299" s="67" t="s">
        <v>19</v>
      </c>
      <c r="E299" s="13"/>
      <c r="F299" s="1" t="s">
        <v>138</v>
      </c>
      <c r="G299" s="24" t="s">
        <v>21</v>
      </c>
      <c r="H299" s="27">
        <v>81365.0</v>
      </c>
      <c r="I299" s="26">
        <v>0.12569444444444444</v>
      </c>
      <c r="J299" s="17" t="s">
        <v>53</v>
      </c>
      <c r="K299" s="1">
        <f t="shared" si="1"/>
        <v>3</v>
      </c>
      <c r="L299" s="1">
        <f t="shared" si="2"/>
        <v>1</v>
      </c>
      <c r="M299" s="1" t="str">
        <f>+CONCAT(K299,L299)</f>
        <v>31</v>
      </c>
      <c r="N299" s="1" t="str">
        <f t="shared" si="4"/>
        <v>LOSS</v>
      </c>
      <c r="O299" s="1">
        <f t="shared" si="5"/>
        <v>-1</v>
      </c>
    </row>
    <row r="300" ht="15.75" customHeight="1">
      <c r="A300" s="24" t="s">
        <v>149</v>
      </c>
      <c r="B300" s="24" t="s">
        <v>1547</v>
      </c>
      <c r="C300" s="22">
        <v>0.875</v>
      </c>
      <c r="D300" s="67" t="s">
        <v>24</v>
      </c>
      <c r="E300" s="13"/>
      <c r="F300" s="1" t="s">
        <v>341</v>
      </c>
      <c r="G300" s="24" t="s">
        <v>59</v>
      </c>
      <c r="H300" s="25">
        <v>96708.0</v>
      </c>
      <c r="I300" s="26">
        <v>0.125</v>
      </c>
      <c r="J300" s="1" t="s">
        <v>500</v>
      </c>
      <c r="K300" s="1">
        <f t="shared" si="1"/>
        <v>3</v>
      </c>
      <c r="L300" s="1">
        <f t="shared" si="2"/>
        <v>0</v>
      </c>
      <c r="M300" s="1" t="str">
        <f>+CONCAT(K300,"-",L300)</f>
        <v>#N/A</v>
      </c>
      <c r="N300" s="1" t="str">
        <f t="shared" si="4"/>
        <v>WIN</v>
      </c>
      <c r="O300" s="1">
        <f t="shared" si="5"/>
        <v>1</v>
      </c>
    </row>
    <row r="301" ht="15.75" customHeight="1">
      <c r="A301" s="24" t="s">
        <v>149</v>
      </c>
      <c r="B301" s="24" t="s">
        <v>1548</v>
      </c>
      <c r="C301" s="22">
        <v>0.875</v>
      </c>
      <c r="D301" s="67" t="s">
        <v>24</v>
      </c>
      <c r="E301" s="13"/>
      <c r="F301" s="1" t="s">
        <v>25</v>
      </c>
      <c r="G301" s="24" t="s">
        <v>59</v>
      </c>
      <c r="H301" s="25">
        <v>50311.0</v>
      </c>
      <c r="I301" s="26">
        <v>0.044444444444444446</v>
      </c>
      <c r="J301" s="17" t="s">
        <v>175</v>
      </c>
      <c r="K301" s="1">
        <f t="shared" si="1"/>
        <v>1</v>
      </c>
      <c r="L301" s="1">
        <f t="shared" si="2"/>
        <v>4</v>
      </c>
      <c r="M301" s="1" t="str">
        <f>+CONCAT(K301,L301)</f>
        <v>14</v>
      </c>
      <c r="N301" s="1" t="str">
        <f t="shared" si="4"/>
        <v>LOSS</v>
      </c>
      <c r="O301" s="1">
        <f t="shared" si="5"/>
        <v>-1</v>
      </c>
    </row>
    <row r="302" ht="15.75" customHeight="1">
      <c r="A302" s="1">
        <v>33.0</v>
      </c>
      <c r="B302" s="24" t="s">
        <v>1549</v>
      </c>
      <c r="C302" s="22">
        <v>0.875</v>
      </c>
      <c r="D302" s="67" t="s">
        <v>19</v>
      </c>
      <c r="E302" s="13" t="s">
        <v>30</v>
      </c>
      <c r="F302" s="1" t="s">
        <v>613</v>
      </c>
      <c r="G302" s="24" t="s">
        <v>59</v>
      </c>
      <c r="H302" s="25">
        <v>20347.0</v>
      </c>
      <c r="I302" s="26">
        <v>0.08472222222222223</v>
      </c>
      <c r="J302" s="1" t="s">
        <v>591</v>
      </c>
      <c r="K302" s="1">
        <f t="shared" si="1"/>
        <v>2</v>
      </c>
      <c r="L302" s="1">
        <f t="shared" si="2"/>
        <v>2</v>
      </c>
      <c r="M302" s="1" t="str">
        <f t="shared" ref="M302:M306" si="70">+CONCAT(K302,"-",L302)</f>
        <v>#N/A</v>
      </c>
      <c r="N302" s="1" t="str">
        <f t="shared" si="4"/>
        <v>DRAW</v>
      </c>
      <c r="O302" s="1">
        <f t="shared" si="5"/>
        <v>0</v>
      </c>
    </row>
    <row r="303" ht="15.75" customHeight="1">
      <c r="A303" s="24" t="s">
        <v>485</v>
      </c>
      <c r="B303" s="24" t="s">
        <v>1550</v>
      </c>
      <c r="C303" s="22">
        <v>0.875</v>
      </c>
      <c r="D303" s="67" t="s">
        <v>19</v>
      </c>
      <c r="E303" s="13"/>
      <c r="F303" s="1" t="s">
        <v>138</v>
      </c>
      <c r="G303" s="24" t="s">
        <v>59</v>
      </c>
      <c r="H303" s="27">
        <v>66099.0</v>
      </c>
      <c r="I303" s="26">
        <v>0.0</v>
      </c>
      <c r="J303" s="1" t="s">
        <v>437</v>
      </c>
      <c r="K303" s="1">
        <f t="shared" si="1"/>
        <v>0</v>
      </c>
      <c r="L303" s="1">
        <f t="shared" si="2"/>
        <v>0</v>
      </c>
      <c r="M303" s="1" t="str">
        <f t="shared" si="70"/>
        <v>#N/A</v>
      </c>
      <c r="N303" s="1" t="str">
        <f t="shared" si="4"/>
        <v>DRAW</v>
      </c>
      <c r="O303" s="1">
        <f t="shared" si="5"/>
        <v>0</v>
      </c>
    </row>
    <row r="304" ht="15.75" customHeight="1">
      <c r="A304" s="24" t="s">
        <v>561</v>
      </c>
      <c r="B304" s="24" t="s">
        <v>1551</v>
      </c>
      <c r="C304" s="22">
        <v>0.7881944444444444</v>
      </c>
      <c r="D304" s="67" t="s">
        <v>24</v>
      </c>
      <c r="E304" s="13"/>
      <c r="F304" s="1" t="s">
        <v>563</v>
      </c>
      <c r="G304" s="24" t="s">
        <v>59</v>
      </c>
      <c r="H304" s="25">
        <v>73462.0</v>
      </c>
      <c r="I304" s="26">
        <v>0.16666666666666666</v>
      </c>
      <c r="J304" s="1" t="s">
        <v>500</v>
      </c>
      <c r="K304" s="1">
        <f t="shared" si="1"/>
        <v>4</v>
      </c>
      <c r="L304" s="1">
        <f t="shared" si="2"/>
        <v>0</v>
      </c>
      <c r="M304" s="1" t="str">
        <f t="shared" si="70"/>
        <v>#N/A</v>
      </c>
      <c r="N304" s="1" t="str">
        <f t="shared" si="4"/>
        <v>WIN</v>
      </c>
      <c r="O304" s="1">
        <f t="shared" si="5"/>
        <v>1</v>
      </c>
    </row>
    <row r="305" ht="15.75" customHeight="1">
      <c r="A305" s="24" t="s">
        <v>143</v>
      </c>
      <c r="B305" s="24" t="s">
        <v>1552</v>
      </c>
      <c r="C305" s="22">
        <v>0.875</v>
      </c>
      <c r="D305" s="67" t="s">
        <v>19</v>
      </c>
      <c r="E305" s="13"/>
      <c r="F305" s="1" t="s">
        <v>571</v>
      </c>
      <c r="G305" s="24" t="s">
        <v>59</v>
      </c>
      <c r="H305" s="25">
        <v>57889.0</v>
      </c>
      <c r="I305" s="26">
        <v>0.0</v>
      </c>
      <c r="J305" s="1" t="s">
        <v>500</v>
      </c>
      <c r="K305" s="1">
        <f t="shared" si="1"/>
        <v>0</v>
      </c>
      <c r="L305" s="1">
        <f t="shared" si="2"/>
        <v>0</v>
      </c>
      <c r="M305" s="1" t="str">
        <f t="shared" si="70"/>
        <v>#N/A</v>
      </c>
      <c r="N305" s="1" t="str">
        <f t="shared" si="4"/>
        <v>DRAW</v>
      </c>
      <c r="O305" s="1">
        <f t="shared" si="5"/>
        <v>0</v>
      </c>
    </row>
    <row r="306" ht="15.75" customHeight="1">
      <c r="A306" s="1">
        <v>5.0</v>
      </c>
      <c r="B306" s="24" t="s">
        <v>1553</v>
      </c>
      <c r="C306" s="22">
        <v>0.9166666666666666</v>
      </c>
      <c r="D306" s="67" t="s">
        <v>24</v>
      </c>
      <c r="E306" s="13" t="s">
        <v>30</v>
      </c>
      <c r="F306" s="1" t="s">
        <v>597</v>
      </c>
      <c r="G306" s="24" t="s">
        <v>59</v>
      </c>
      <c r="H306" s="25">
        <v>49693.0</v>
      </c>
      <c r="I306" s="26">
        <v>0.25069444444444444</v>
      </c>
      <c r="J306" s="1" t="s">
        <v>591</v>
      </c>
      <c r="K306" s="1">
        <f t="shared" si="1"/>
        <v>6</v>
      </c>
      <c r="L306" s="1">
        <f t="shared" si="2"/>
        <v>1</v>
      </c>
      <c r="M306" s="1" t="str">
        <f t="shared" si="70"/>
        <v>#N/A</v>
      </c>
      <c r="N306" s="1" t="str">
        <f t="shared" si="4"/>
        <v>WIN</v>
      </c>
      <c r="O306" s="1">
        <f t="shared" si="5"/>
        <v>1</v>
      </c>
    </row>
    <row r="307" ht="15.75" customHeight="1">
      <c r="A307" s="24" t="s">
        <v>245</v>
      </c>
      <c r="B307" s="24" t="s">
        <v>1554</v>
      </c>
      <c r="C307" s="22">
        <v>0.875</v>
      </c>
      <c r="D307" s="67" t="s">
        <v>24</v>
      </c>
      <c r="E307" s="13"/>
      <c r="F307" s="1" t="s">
        <v>247</v>
      </c>
      <c r="G307" s="24" t="s">
        <v>59</v>
      </c>
      <c r="H307" s="25">
        <v>40989.0</v>
      </c>
      <c r="I307" s="26">
        <v>0.20833333333333334</v>
      </c>
      <c r="J307" s="17" t="s">
        <v>175</v>
      </c>
      <c r="K307" s="1">
        <f t="shared" si="1"/>
        <v>5</v>
      </c>
      <c r="L307" s="1">
        <f t="shared" si="2"/>
        <v>0</v>
      </c>
      <c r="M307" s="1" t="str">
        <f>+CONCAT(K307,L307)</f>
        <v>50</v>
      </c>
      <c r="N307" s="1" t="str">
        <f t="shared" si="4"/>
        <v>WIN</v>
      </c>
      <c r="O307" s="1">
        <f t="shared" si="5"/>
        <v>1</v>
      </c>
    </row>
    <row r="308" ht="15.75" customHeight="1">
      <c r="A308" s="24" t="s">
        <v>143</v>
      </c>
      <c r="B308" s="24" t="s">
        <v>1555</v>
      </c>
      <c r="C308" s="22">
        <v>0.8645833333333334</v>
      </c>
      <c r="D308" s="67" t="s">
        <v>19</v>
      </c>
      <c r="E308" s="13"/>
      <c r="F308" s="1" t="s">
        <v>661</v>
      </c>
      <c r="G308" s="24" t="s">
        <v>483</v>
      </c>
      <c r="H308" s="25">
        <v>37741.0</v>
      </c>
      <c r="I308" s="26">
        <v>0.04236111111111111</v>
      </c>
      <c r="J308" s="1" t="s">
        <v>591</v>
      </c>
      <c r="K308" s="1">
        <f t="shared" si="1"/>
        <v>1</v>
      </c>
      <c r="L308" s="1">
        <f t="shared" si="2"/>
        <v>1</v>
      </c>
      <c r="M308" s="1" t="str">
        <f>+CONCAT(K308,"-",L308)</f>
        <v>#N/A</v>
      </c>
      <c r="N308" s="1" t="str">
        <f t="shared" si="4"/>
        <v>DRAW</v>
      </c>
      <c r="O308" s="1">
        <f t="shared" si="5"/>
        <v>0</v>
      </c>
    </row>
    <row r="309" ht="15.75" customHeight="1">
      <c r="A309" s="24" t="s">
        <v>17</v>
      </c>
      <c r="B309" s="24" t="s">
        <v>1556</v>
      </c>
      <c r="C309" s="22">
        <v>0.875</v>
      </c>
      <c r="D309" s="67" t="s">
        <v>19</v>
      </c>
      <c r="E309" s="13"/>
      <c r="F309" s="1" t="s">
        <v>140</v>
      </c>
      <c r="G309" s="24" t="s">
        <v>21</v>
      </c>
      <c r="H309" s="25">
        <v>63225.0</v>
      </c>
      <c r="I309" s="26">
        <v>0.1701388888888889</v>
      </c>
      <c r="J309" s="17" t="s">
        <v>53</v>
      </c>
      <c r="K309" s="1">
        <f t="shared" si="1"/>
        <v>4</v>
      </c>
      <c r="L309" s="1">
        <f t="shared" si="2"/>
        <v>5</v>
      </c>
      <c r="M309" s="1" t="str">
        <f>+CONCAT(K309,L309)</f>
        <v>45</v>
      </c>
      <c r="N309" s="1" t="str">
        <f t="shared" si="4"/>
        <v>WIN</v>
      </c>
      <c r="O309" s="1">
        <f t="shared" si="5"/>
        <v>1</v>
      </c>
    </row>
    <row r="310" ht="15.75" customHeight="1">
      <c r="A310" s="1">
        <v>4.0</v>
      </c>
      <c r="B310" s="24" t="s">
        <v>1557</v>
      </c>
      <c r="C310" s="22">
        <v>0.8958333333333334</v>
      </c>
      <c r="D310" s="67" t="s">
        <v>19</v>
      </c>
      <c r="E310" s="13" t="s">
        <v>43</v>
      </c>
      <c r="F310" s="1" t="s">
        <v>359</v>
      </c>
      <c r="G310" s="24" t="s">
        <v>59</v>
      </c>
      <c r="H310" s="25">
        <v>31358.0</v>
      </c>
      <c r="I310" s="26">
        <v>0.04236111111111111</v>
      </c>
      <c r="J310" s="17" t="s">
        <v>354</v>
      </c>
      <c r="K310" s="1">
        <f t="shared" si="1"/>
        <v>1</v>
      </c>
      <c r="L310" s="1">
        <f t="shared" si="2"/>
        <v>1</v>
      </c>
      <c r="M310" s="1" t="str">
        <f>+CONCAT(K310,"-",L310)</f>
        <v>#N/A</v>
      </c>
      <c r="N310" s="1" t="str">
        <f t="shared" si="4"/>
        <v>DRAW</v>
      </c>
      <c r="O310" s="1">
        <f t="shared" si="5"/>
        <v>0</v>
      </c>
    </row>
    <row r="311" ht="15.75" customHeight="1">
      <c r="A311" s="1">
        <v>33.0</v>
      </c>
      <c r="B311" s="24" t="s">
        <v>1558</v>
      </c>
      <c r="C311" s="22">
        <v>0.8958333333333334</v>
      </c>
      <c r="D311" s="67" t="s">
        <v>24</v>
      </c>
      <c r="E311" s="13" t="s">
        <v>30</v>
      </c>
      <c r="F311" s="1" t="s">
        <v>117</v>
      </c>
      <c r="G311" s="24" t="s">
        <v>21</v>
      </c>
      <c r="H311" s="25">
        <v>45602.0</v>
      </c>
      <c r="I311" s="26">
        <v>0.041666666666666664</v>
      </c>
      <c r="J311" s="17" t="s">
        <v>53</v>
      </c>
      <c r="K311" s="1">
        <f t="shared" si="1"/>
        <v>1</v>
      </c>
      <c r="L311" s="1">
        <f t="shared" si="2"/>
        <v>0</v>
      </c>
      <c r="M311" s="1" t="str">
        <f>+CONCAT(K311,L311)</f>
        <v>10</v>
      </c>
      <c r="N311" s="1" t="str">
        <f t="shared" si="4"/>
        <v>WIN</v>
      </c>
      <c r="O311" s="1">
        <f t="shared" si="5"/>
        <v>1</v>
      </c>
    </row>
    <row r="312" ht="15.75" customHeight="1">
      <c r="A312" s="1">
        <v>34.0</v>
      </c>
      <c r="B312" s="24" t="s">
        <v>1559</v>
      </c>
      <c r="C312" s="22">
        <v>0.8958333333333334</v>
      </c>
      <c r="D312" s="67" t="s">
        <v>19</v>
      </c>
      <c r="E312" s="13" t="s">
        <v>30</v>
      </c>
      <c r="F312" s="1" t="s">
        <v>555</v>
      </c>
      <c r="G312" s="24" t="s">
        <v>59</v>
      </c>
      <c r="H312" s="25">
        <v>18735.0</v>
      </c>
      <c r="I312" s="26">
        <v>0.001388888888888889</v>
      </c>
      <c r="J312" s="1" t="s">
        <v>500</v>
      </c>
      <c r="K312" s="1">
        <f t="shared" si="1"/>
        <v>0</v>
      </c>
      <c r="L312" s="1">
        <f t="shared" si="2"/>
        <v>2</v>
      </c>
      <c r="M312" s="1" t="str">
        <f t="shared" ref="M312:M317" si="71">+CONCAT(K312,"-",L312)</f>
        <v>#N/A</v>
      </c>
      <c r="N312" s="1" t="str">
        <f t="shared" si="4"/>
        <v>WIN</v>
      </c>
      <c r="O312" s="1">
        <f t="shared" si="5"/>
        <v>1</v>
      </c>
    </row>
    <row r="313" ht="15.75" customHeight="1">
      <c r="A313" s="1">
        <v>36.0</v>
      </c>
      <c r="B313" s="24" t="s">
        <v>1560</v>
      </c>
      <c r="C313" s="22">
        <v>0.9166666666666666</v>
      </c>
      <c r="D313" s="67" t="s">
        <v>19</v>
      </c>
      <c r="E313" s="13" t="s">
        <v>30</v>
      </c>
      <c r="F313" s="1" t="s">
        <v>273</v>
      </c>
      <c r="G313" s="24" t="s">
        <v>59</v>
      </c>
      <c r="H313" s="25">
        <v>22341.0</v>
      </c>
      <c r="I313" s="26">
        <v>0.12569444444444444</v>
      </c>
      <c r="J313" s="17" t="s">
        <v>268</v>
      </c>
      <c r="K313" s="1">
        <f t="shared" si="1"/>
        <v>3</v>
      </c>
      <c r="L313" s="1">
        <f t="shared" si="2"/>
        <v>1</v>
      </c>
      <c r="M313" s="1" t="str">
        <f t="shared" si="71"/>
        <v>#N/A</v>
      </c>
      <c r="N313" s="1" t="str">
        <f t="shared" si="4"/>
        <v>LOSS</v>
      </c>
      <c r="O313" s="1">
        <f t="shared" si="5"/>
        <v>-1</v>
      </c>
    </row>
    <row r="314" ht="15.75" customHeight="1">
      <c r="A314" s="24" t="s">
        <v>416</v>
      </c>
      <c r="B314" s="24" t="s">
        <v>1561</v>
      </c>
      <c r="C314" s="22">
        <v>0.875</v>
      </c>
      <c r="D314" s="67" t="s">
        <v>24</v>
      </c>
      <c r="E314" s="13"/>
      <c r="F314" s="1" t="s">
        <v>140</v>
      </c>
      <c r="G314" s="24" t="s">
        <v>179</v>
      </c>
      <c r="H314" s="25">
        <v>49572.0</v>
      </c>
      <c r="I314" s="26">
        <v>0.0</v>
      </c>
      <c r="J314" s="17" t="s">
        <v>354</v>
      </c>
      <c r="K314" s="1">
        <f t="shared" si="1"/>
        <v>0</v>
      </c>
      <c r="L314" s="1">
        <f t="shared" si="2"/>
        <v>0</v>
      </c>
      <c r="M314" s="1" t="str">
        <f t="shared" si="71"/>
        <v>#N/A</v>
      </c>
      <c r="N314" s="1" t="str">
        <f t="shared" si="4"/>
        <v>DRAW</v>
      </c>
      <c r="O314" s="1">
        <f t="shared" si="5"/>
        <v>0</v>
      </c>
    </row>
    <row r="315" ht="15.75" customHeight="1">
      <c r="A315" s="1">
        <v>6.0</v>
      </c>
      <c r="B315" s="24" t="s">
        <v>1562</v>
      </c>
      <c r="C315" s="22">
        <v>0.875</v>
      </c>
      <c r="D315" s="67" t="s">
        <v>24</v>
      </c>
      <c r="E315" s="13" t="s">
        <v>365</v>
      </c>
      <c r="F315" s="1" t="s">
        <v>286</v>
      </c>
      <c r="G315" s="24" t="s">
        <v>59</v>
      </c>
      <c r="H315" s="25">
        <v>70316.0</v>
      </c>
      <c r="I315" s="26">
        <v>0.08402777777777778</v>
      </c>
      <c r="J315" s="1" t="s">
        <v>437</v>
      </c>
      <c r="K315" s="1">
        <f t="shared" si="1"/>
        <v>2</v>
      </c>
      <c r="L315" s="1">
        <f t="shared" si="2"/>
        <v>1</v>
      </c>
      <c r="M315" s="1" t="str">
        <f t="shared" si="71"/>
        <v>#N/A</v>
      </c>
      <c r="N315" s="1" t="str">
        <f t="shared" si="4"/>
        <v>WIN</v>
      </c>
      <c r="O315" s="1">
        <f t="shared" si="5"/>
        <v>1</v>
      </c>
    </row>
    <row r="316" ht="15.75" customHeight="1">
      <c r="A316" s="24" t="s">
        <v>339</v>
      </c>
      <c r="B316" s="24" t="s">
        <v>1563</v>
      </c>
      <c r="C316" s="22">
        <v>0.8958333333333334</v>
      </c>
      <c r="D316" s="67" t="s">
        <v>19</v>
      </c>
      <c r="E316" s="13"/>
      <c r="F316" s="1" t="s">
        <v>667</v>
      </c>
      <c r="G316" s="24" t="s">
        <v>59</v>
      </c>
      <c r="H316" s="25">
        <v>16127.0</v>
      </c>
      <c r="I316" s="26">
        <v>0.0020833333333333333</v>
      </c>
      <c r="J316" s="1" t="s">
        <v>591</v>
      </c>
      <c r="K316" s="1">
        <f t="shared" si="1"/>
        <v>0</v>
      </c>
      <c r="L316" s="1">
        <f t="shared" si="2"/>
        <v>3</v>
      </c>
      <c r="M316" s="1" t="str">
        <f t="shared" si="71"/>
        <v>#N/A</v>
      </c>
      <c r="N316" s="1" t="str">
        <f t="shared" si="4"/>
        <v>WIN</v>
      </c>
      <c r="O316" s="1">
        <f t="shared" si="5"/>
        <v>1</v>
      </c>
    </row>
    <row r="317" ht="15.75" customHeight="1">
      <c r="A317" s="24" t="s">
        <v>143</v>
      </c>
      <c r="B317" s="24" t="s">
        <v>1564</v>
      </c>
      <c r="C317" s="22">
        <v>0.875</v>
      </c>
      <c r="D317" s="67" t="s">
        <v>19</v>
      </c>
      <c r="E317" s="13"/>
      <c r="F317" s="1" t="s">
        <v>256</v>
      </c>
      <c r="G317" s="24" t="s">
        <v>59</v>
      </c>
      <c r="H317" s="25">
        <v>44388.0</v>
      </c>
      <c r="I317" s="26">
        <v>0.04236111111111111</v>
      </c>
      <c r="J317" s="1" t="s">
        <v>437</v>
      </c>
      <c r="K317" s="1">
        <f t="shared" si="1"/>
        <v>1</v>
      </c>
      <c r="L317" s="1">
        <f t="shared" si="2"/>
        <v>1</v>
      </c>
      <c r="M317" s="1" t="str">
        <f t="shared" si="71"/>
        <v>#N/A</v>
      </c>
      <c r="N317" s="1" t="str">
        <f t="shared" si="4"/>
        <v>DRAW</v>
      </c>
      <c r="O317" s="1">
        <f t="shared" si="5"/>
        <v>0</v>
      </c>
    </row>
    <row r="318" ht="15.75" customHeight="1">
      <c r="A318" s="24" t="s">
        <v>151</v>
      </c>
      <c r="B318" s="24" t="s">
        <v>1565</v>
      </c>
      <c r="C318" s="22">
        <v>0.8958333333333334</v>
      </c>
      <c r="D318" s="67" t="s">
        <v>24</v>
      </c>
      <c r="E318" s="13"/>
      <c r="F318" s="1" t="s">
        <v>167</v>
      </c>
      <c r="G318" s="24" t="s">
        <v>21</v>
      </c>
      <c r="H318" s="25">
        <v>40915.0</v>
      </c>
      <c r="I318" s="26">
        <v>0.16944444444444445</v>
      </c>
      <c r="J318" s="17" t="s">
        <v>53</v>
      </c>
      <c r="K318" s="1">
        <f t="shared" si="1"/>
        <v>4</v>
      </c>
      <c r="L318" s="1">
        <f t="shared" si="2"/>
        <v>4</v>
      </c>
      <c r="M318" s="1" t="str">
        <f t="shared" ref="M318:M322" si="72">+CONCAT(K318,L318)</f>
        <v>44</v>
      </c>
      <c r="N318" s="1" t="str">
        <f t="shared" si="4"/>
        <v>DRAW</v>
      </c>
      <c r="O318" s="1">
        <f t="shared" si="5"/>
        <v>0</v>
      </c>
    </row>
    <row r="319" ht="15.75" customHeight="1">
      <c r="A319" s="1">
        <v>7.0</v>
      </c>
      <c r="B319" s="24" t="s">
        <v>1566</v>
      </c>
      <c r="C319" s="22">
        <v>0.8958333333333334</v>
      </c>
      <c r="D319" s="67" t="s">
        <v>19</v>
      </c>
      <c r="E319" s="13" t="s">
        <v>30</v>
      </c>
      <c r="F319" s="1" t="s">
        <v>189</v>
      </c>
      <c r="G319" s="24" t="s">
        <v>59</v>
      </c>
      <c r="H319" s="25">
        <v>19939.0</v>
      </c>
      <c r="I319" s="26">
        <v>0.08472222222222223</v>
      </c>
      <c r="J319" s="17" t="s">
        <v>175</v>
      </c>
      <c r="K319" s="1">
        <f t="shared" si="1"/>
        <v>2</v>
      </c>
      <c r="L319" s="1">
        <f t="shared" si="2"/>
        <v>2</v>
      </c>
      <c r="M319" s="1" t="str">
        <f t="shared" si="72"/>
        <v>22</v>
      </c>
      <c r="N319" s="1" t="str">
        <f t="shared" si="4"/>
        <v>DRAW</v>
      </c>
      <c r="O319" s="1">
        <f t="shared" si="5"/>
        <v>0</v>
      </c>
    </row>
    <row r="320" ht="15.75" customHeight="1">
      <c r="A320" s="24" t="s">
        <v>17</v>
      </c>
      <c r="B320" s="24" t="s">
        <v>1567</v>
      </c>
      <c r="C320" s="22">
        <v>0.875</v>
      </c>
      <c r="D320" s="67" t="s">
        <v>24</v>
      </c>
      <c r="E320" s="13"/>
      <c r="F320" s="1" t="s">
        <v>136</v>
      </c>
      <c r="G320" s="24" t="s">
        <v>21</v>
      </c>
      <c r="H320" s="25">
        <v>46317.0</v>
      </c>
      <c r="I320" s="26">
        <v>0.125</v>
      </c>
      <c r="J320" s="17" t="s">
        <v>53</v>
      </c>
      <c r="K320" s="1">
        <f t="shared" si="1"/>
        <v>3</v>
      </c>
      <c r="L320" s="1">
        <f t="shared" si="2"/>
        <v>0</v>
      </c>
      <c r="M320" s="1" t="str">
        <f t="shared" si="72"/>
        <v>30</v>
      </c>
      <c r="N320" s="1" t="str">
        <f t="shared" si="4"/>
        <v>WIN</v>
      </c>
      <c r="O320" s="1">
        <f t="shared" si="5"/>
        <v>1</v>
      </c>
    </row>
    <row r="321" ht="15.75" customHeight="1">
      <c r="A321" s="1">
        <v>3.0</v>
      </c>
      <c r="B321" s="24" t="s">
        <v>1568</v>
      </c>
      <c r="C321" s="22">
        <v>0.8958333333333334</v>
      </c>
      <c r="D321" s="67" t="s">
        <v>19</v>
      </c>
      <c r="E321" s="13" t="s">
        <v>33</v>
      </c>
      <c r="F321" s="1" t="s">
        <v>41</v>
      </c>
      <c r="G321" s="24" t="s">
        <v>21</v>
      </c>
      <c r="H321" s="25">
        <v>14031.0</v>
      </c>
      <c r="I321" s="26">
        <v>0.043055555555555555</v>
      </c>
      <c r="J321" s="17" t="s">
        <v>53</v>
      </c>
      <c r="K321" s="1">
        <f t="shared" si="1"/>
        <v>1</v>
      </c>
      <c r="L321" s="1">
        <f t="shared" si="2"/>
        <v>2</v>
      </c>
      <c r="M321" s="1" t="str">
        <f t="shared" si="72"/>
        <v>12</v>
      </c>
      <c r="N321" s="1" t="str">
        <f t="shared" si="4"/>
        <v>WIN</v>
      </c>
      <c r="O321" s="1">
        <f t="shared" si="5"/>
        <v>1</v>
      </c>
    </row>
    <row r="322" ht="15.75" customHeight="1">
      <c r="A322" s="24" t="s">
        <v>245</v>
      </c>
      <c r="B322" s="24" t="s">
        <v>1569</v>
      </c>
      <c r="C322" s="22">
        <v>0.875</v>
      </c>
      <c r="D322" s="67" t="s">
        <v>24</v>
      </c>
      <c r="E322" s="13"/>
      <c r="F322" s="1" t="s">
        <v>249</v>
      </c>
      <c r="G322" s="24" t="s">
        <v>59</v>
      </c>
      <c r="H322" s="25">
        <v>43533.0</v>
      </c>
      <c r="I322" s="26">
        <v>0.08402777777777778</v>
      </c>
      <c r="J322" s="17" t="s">
        <v>175</v>
      </c>
      <c r="K322" s="1">
        <f t="shared" si="1"/>
        <v>2</v>
      </c>
      <c r="L322" s="1">
        <f t="shared" si="2"/>
        <v>1</v>
      </c>
      <c r="M322" s="1" t="str">
        <f t="shared" si="72"/>
        <v>21</v>
      </c>
      <c r="N322" s="1" t="str">
        <f t="shared" si="4"/>
        <v>WIN</v>
      </c>
      <c r="O322" s="1">
        <f t="shared" si="5"/>
        <v>1</v>
      </c>
    </row>
    <row r="323" ht="15.75" customHeight="1">
      <c r="A323" s="1">
        <v>11.0</v>
      </c>
      <c r="B323" s="24" t="s">
        <v>1570</v>
      </c>
      <c r="C323" s="22">
        <v>0.8854166666666666</v>
      </c>
      <c r="D323" s="67" t="s">
        <v>24</v>
      </c>
      <c r="E323" s="13" t="s">
        <v>33</v>
      </c>
      <c r="F323" s="1" t="s">
        <v>455</v>
      </c>
      <c r="G323" s="24" t="s">
        <v>59</v>
      </c>
      <c r="H323" s="25">
        <v>59896.0</v>
      </c>
      <c r="I323" s="26">
        <v>0.20902777777777778</v>
      </c>
      <c r="J323" s="1" t="s">
        <v>437</v>
      </c>
      <c r="K323" s="1">
        <f t="shared" si="1"/>
        <v>5</v>
      </c>
      <c r="L323" s="1">
        <f t="shared" si="2"/>
        <v>1</v>
      </c>
      <c r="M323" s="1" t="str">
        <f t="shared" ref="M323:M324" si="73">+CONCAT(K323,"-",L323)</f>
        <v>#N/A</v>
      </c>
      <c r="N323" s="1" t="str">
        <f t="shared" si="4"/>
        <v>WIN</v>
      </c>
      <c r="O323" s="1">
        <f t="shared" si="5"/>
        <v>1</v>
      </c>
    </row>
    <row r="324" ht="15.75" customHeight="1">
      <c r="A324" s="24" t="s">
        <v>651</v>
      </c>
      <c r="B324" s="24" t="s">
        <v>1571</v>
      </c>
      <c r="C324" s="22">
        <v>0.8645833333333334</v>
      </c>
      <c r="D324" s="67" t="s">
        <v>19</v>
      </c>
      <c r="E324" s="13"/>
      <c r="F324" s="1" t="s">
        <v>27</v>
      </c>
      <c r="G324" s="24" t="s">
        <v>483</v>
      </c>
      <c r="H324" s="25">
        <v>31600.0</v>
      </c>
      <c r="I324" s="26">
        <v>0.0</v>
      </c>
      <c r="J324" s="1" t="s">
        <v>591</v>
      </c>
      <c r="K324" s="1">
        <f t="shared" si="1"/>
        <v>0</v>
      </c>
      <c r="L324" s="1">
        <f t="shared" si="2"/>
        <v>0</v>
      </c>
      <c r="M324" s="1" t="str">
        <f t="shared" si="73"/>
        <v>#N/A</v>
      </c>
      <c r="N324" s="1" t="str">
        <f t="shared" si="4"/>
        <v>DRAW</v>
      </c>
      <c r="O324" s="1">
        <f t="shared" si="5"/>
        <v>0</v>
      </c>
    </row>
    <row r="325" ht="15.75" customHeight="1">
      <c r="A325" s="1">
        <v>17.0</v>
      </c>
      <c r="B325" s="24" t="s">
        <v>1572</v>
      </c>
      <c r="C325" s="22">
        <v>0.875</v>
      </c>
      <c r="D325" s="67" t="s">
        <v>19</v>
      </c>
      <c r="E325" s="13" t="s">
        <v>30</v>
      </c>
      <c r="F325" s="1" t="s">
        <v>297</v>
      </c>
      <c r="G325" s="24" t="s">
        <v>59</v>
      </c>
      <c r="H325" s="25">
        <v>48181.0</v>
      </c>
      <c r="I325" s="26">
        <v>0.043055555555555555</v>
      </c>
      <c r="J325" s="17" t="s">
        <v>268</v>
      </c>
      <c r="K325" s="1">
        <f t="shared" si="1"/>
        <v>1</v>
      </c>
      <c r="L325" s="1">
        <f t="shared" si="2"/>
        <v>2</v>
      </c>
      <c r="M325" s="1" t="str">
        <f>+CONCAT(K325,L325)</f>
        <v>12</v>
      </c>
      <c r="N325" s="1" t="str">
        <f t="shared" si="4"/>
        <v>WIN</v>
      </c>
      <c r="O325" s="1">
        <f t="shared" si="5"/>
        <v>1</v>
      </c>
    </row>
    <row r="326" ht="15.75" customHeight="1">
      <c r="A326" s="24" t="s">
        <v>151</v>
      </c>
      <c r="B326" s="24" t="s">
        <v>1573</v>
      </c>
      <c r="C326" s="22">
        <v>0.875</v>
      </c>
      <c r="D326" s="67" t="s">
        <v>24</v>
      </c>
      <c r="E326" s="13"/>
      <c r="F326" s="1" t="s">
        <v>576</v>
      </c>
      <c r="G326" s="24" t="s">
        <v>59</v>
      </c>
      <c r="H326" s="25">
        <v>98299.0</v>
      </c>
      <c r="I326" s="26">
        <v>0.125</v>
      </c>
      <c r="J326" s="1" t="s">
        <v>500</v>
      </c>
      <c r="K326" s="1">
        <f t="shared" si="1"/>
        <v>3</v>
      </c>
      <c r="L326" s="1">
        <f t="shared" si="2"/>
        <v>0</v>
      </c>
      <c r="M326" s="1" t="str">
        <f>+CONCAT(K326,"-",L326)</f>
        <v>#N/A</v>
      </c>
      <c r="N326" s="1" t="str">
        <f t="shared" si="4"/>
        <v>WIN</v>
      </c>
      <c r="O326" s="1">
        <f t="shared" si="5"/>
        <v>1</v>
      </c>
    </row>
    <row r="327" ht="15.75" customHeight="1">
      <c r="A327" s="24" t="s">
        <v>154</v>
      </c>
      <c r="B327" s="24" t="s">
        <v>1574</v>
      </c>
      <c r="C327" s="22">
        <v>0.8958333333333334</v>
      </c>
      <c r="D327" s="67" t="s">
        <v>19</v>
      </c>
      <c r="E327" s="13"/>
      <c r="F327" s="1" t="s">
        <v>167</v>
      </c>
      <c r="G327" s="24" t="s">
        <v>21</v>
      </c>
      <c r="H327" s="25">
        <v>60739.0</v>
      </c>
      <c r="I327" s="26">
        <v>6.944444444444445E-4</v>
      </c>
      <c r="J327" s="17" t="s">
        <v>53</v>
      </c>
      <c r="K327" s="1">
        <f t="shared" si="1"/>
        <v>0</v>
      </c>
      <c r="L327" s="1">
        <f t="shared" si="2"/>
        <v>1</v>
      </c>
      <c r="M327" s="1" t="str">
        <f>+CONCAT(K327,L327)</f>
        <v>01</v>
      </c>
      <c r="N327" s="1" t="str">
        <f t="shared" si="4"/>
        <v>WIN</v>
      </c>
      <c r="O327" s="1">
        <f t="shared" si="5"/>
        <v>1</v>
      </c>
    </row>
    <row r="328" ht="15.75" customHeight="1">
      <c r="A328" s="24" t="s">
        <v>485</v>
      </c>
      <c r="B328" s="24" t="s">
        <v>1575</v>
      </c>
      <c r="C328" s="22">
        <v>0.875</v>
      </c>
      <c r="D328" s="67" t="s">
        <v>24</v>
      </c>
      <c r="E328" s="13"/>
      <c r="F328" s="1" t="s">
        <v>153</v>
      </c>
      <c r="G328" s="24" t="s">
        <v>59</v>
      </c>
      <c r="H328" s="25">
        <v>86141.0</v>
      </c>
      <c r="I328" s="26">
        <v>0.08402777777777778</v>
      </c>
      <c r="J328" s="1" t="s">
        <v>437</v>
      </c>
      <c r="K328" s="1">
        <f t="shared" si="1"/>
        <v>2</v>
      </c>
      <c r="L328" s="1">
        <f t="shared" si="2"/>
        <v>1</v>
      </c>
      <c r="M328" s="1" t="str">
        <f t="shared" ref="M328:M331" si="74">+CONCAT(K328,"-",L328)</f>
        <v>#N/A</v>
      </c>
      <c r="N328" s="1" t="str">
        <f t="shared" si="4"/>
        <v>WIN</v>
      </c>
      <c r="O328" s="1">
        <f t="shared" si="5"/>
        <v>1</v>
      </c>
    </row>
    <row r="329" ht="15.75" customHeight="1">
      <c r="A329" s="24" t="s">
        <v>561</v>
      </c>
      <c r="B329" s="24" t="s">
        <v>1576</v>
      </c>
      <c r="C329" s="22">
        <v>0.875</v>
      </c>
      <c r="D329" s="67" t="s">
        <v>19</v>
      </c>
      <c r="E329" s="13"/>
      <c r="F329" s="1" t="s">
        <v>565</v>
      </c>
      <c r="G329" s="24" t="s">
        <v>59</v>
      </c>
      <c r="H329" s="25">
        <v>82137.0</v>
      </c>
      <c r="I329" s="26">
        <v>0.08611111111111111</v>
      </c>
      <c r="J329" s="1" t="s">
        <v>500</v>
      </c>
      <c r="K329" s="1">
        <f t="shared" si="1"/>
        <v>2</v>
      </c>
      <c r="L329" s="1">
        <f t="shared" si="2"/>
        <v>4</v>
      </c>
      <c r="M329" s="1" t="str">
        <f t="shared" si="74"/>
        <v>#N/A</v>
      </c>
      <c r="N329" s="1" t="str">
        <f t="shared" si="4"/>
        <v>WIN</v>
      </c>
      <c r="O329" s="1">
        <f t="shared" si="5"/>
        <v>1</v>
      </c>
    </row>
    <row r="330" ht="15.75" customHeight="1">
      <c r="A330" s="24" t="s">
        <v>157</v>
      </c>
      <c r="B330" s="24" t="s">
        <v>1577</v>
      </c>
      <c r="C330" s="22">
        <v>0.875</v>
      </c>
      <c r="D330" s="67" t="s">
        <v>19</v>
      </c>
      <c r="E330" s="13"/>
      <c r="F330" s="1" t="s">
        <v>345</v>
      </c>
      <c r="G330" s="24" t="s">
        <v>59</v>
      </c>
      <c r="H330" s="25">
        <v>28000.0</v>
      </c>
      <c r="I330" s="28" t="s">
        <v>346</v>
      </c>
      <c r="J330" s="17" t="s">
        <v>268</v>
      </c>
      <c r="K330" s="1" t="str">
        <f t="shared" si="1"/>
        <v>#VALUE!</v>
      </c>
      <c r="L330" s="1" t="str">
        <f t="shared" si="2"/>
        <v>#VALUE!</v>
      </c>
      <c r="M330" s="1" t="str">
        <f t="shared" si="74"/>
        <v>#N/A</v>
      </c>
      <c r="N330" s="1" t="str">
        <f t="shared" si="4"/>
        <v>#VALUE!</v>
      </c>
      <c r="O330" s="1" t="str">
        <f t="shared" si="5"/>
        <v>#VALUE!</v>
      </c>
    </row>
    <row r="331" ht="15.75" customHeight="1">
      <c r="A331" s="24" t="s">
        <v>147</v>
      </c>
      <c r="B331" s="24" t="s">
        <v>1578</v>
      </c>
      <c r="C331" s="22">
        <v>0.8645833333333334</v>
      </c>
      <c r="D331" s="67" t="s">
        <v>24</v>
      </c>
      <c r="E331" s="13"/>
      <c r="F331" s="1" t="s">
        <v>664</v>
      </c>
      <c r="G331" s="45">
        <v>37350.0</v>
      </c>
      <c r="H331" s="25">
        <v>90106.0</v>
      </c>
      <c r="I331" s="26">
        <v>0.1673611111111111</v>
      </c>
      <c r="J331" s="1" t="s">
        <v>591</v>
      </c>
      <c r="K331" s="1">
        <f t="shared" si="1"/>
        <v>4</v>
      </c>
      <c r="L331" s="1">
        <f t="shared" si="2"/>
        <v>1</v>
      </c>
      <c r="M331" s="1" t="str">
        <f t="shared" si="74"/>
        <v>#N/A</v>
      </c>
      <c r="N331" s="1" t="str">
        <f t="shared" si="4"/>
        <v>WIN</v>
      </c>
      <c r="O331" s="1">
        <f t="shared" si="5"/>
        <v>1</v>
      </c>
    </row>
    <row r="332" ht="15.75" customHeight="1">
      <c r="A332" s="24" t="s">
        <v>245</v>
      </c>
      <c r="B332" s="24" t="s">
        <v>1579</v>
      </c>
      <c r="C332" s="22">
        <v>0.875</v>
      </c>
      <c r="D332" s="67" t="s">
        <v>19</v>
      </c>
      <c r="E332" s="13"/>
      <c r="F332" s="1" t="s">
        <v>249</v>
      </c>
      <c r="G332" s="24" t="s">
        <v>59</v>
      </c>
      <c r="H332" s="25">
        <v>49722.0</v>
      </c>
      <c r="I332" s="26">
        <v>6.944444444444445E-4</v>
      </c>
      <c r="J332" s="17" t="s">
        <v>175</v>
      </c>
      <c r="K332" s="1">
        <f t="shared" si="1"/>
        <v>0</v>
      </c>
      <c r="L332" s="1">
        <f t="shared" si="2"/>
        <v>1</v>
      </c>
      <c r="M332" s="1" t="str">
        <f>+CONCAT(K332,L332)</f>
        <v>01</v>
      </c>
      <c r="N332" s="1" t="str">
        <f t="shared" si="4"/>
        <v>WIN</v>
      </c>
      <c r="O332" s="1">
        <f t="shared" si="5"/>
        <v>1</v>
      </c>
    </row>
    <row r="333" ht="15.75" customHeight="1">
      <c r="A333" s="24" t="s">
        <v>157</v>
      </c>
      <c r="B333" s="24" t="s">
        <v>1580</v>
      </c>
      <c r="C333" s="22">
        <v>0.8125</v>
      </c>
      <c r="D333" s="67" t="s">
        <v>19</v>
      </c>
      <c r="E333" s="13"/>
      <c r="F333" s="1" t="s">
        <v>434</v>
      </c>
      <c r="G333" s="24" t="s">
        <v>418</v>
      </c>
      <c r="H333" s="27">
        <v>10000.0</v>
      </c>
      <c r="I333" s="26">
        <v>0.043055555555555555</v>
      </c>
      <c r="J333" s="17" t="s">
        <v>354</v>
      </c>
      <c r="K333" s="1">
        <f t="shared" si="1"/>
        <v>1</v>
      </c>
      <c r="L333" s="1">
        <f t="shared" si="2"/>
        <v>2</v>
      </c>
      <c r="M333" s="1" t="str">
        <f>+CONCAT(K333,"-",L333)</f>
        <v>#N/A</v>
      </c>
      <c r="N333" s="1" t="str">
        <f t="shared" si="4"/>
        <v>WIN</v>
      </c>
      <c r="O333" s="1">
        <f t="shared" si="5"/>
        <v>1</v>
      </c>
    </row>
    <row r="334" ht="15.75" customHeight="1">
      <c r="A334" s="24" t="s">
        <v>143</v>
      </c>
      <c r="B334" s="24" t="s">
        <v>1581</v>
      </c>
      <c r="C334" s="22">
        <v>0.875</v>
      </c>
      <c r="D334" s="67" t="s">
        <v>19</v>
      </c>
      <c r="E334" s="13"/>
      <c r="F334" s="1" t="s">
        <v>140</v>
      </c>
      <c r="G334" s="24" t="s">
        <v>59</v>
      </c>
      <c r="H334" s="25">
        <v>62437.0</v>
      </c>
      <c r="I334" s="26">
        <v>6.944444444444445E-4</v>
      </c>
      <c r="J334" s="17" t="s">
        <v>53</v>
      </c>
      <c r="K334" s="1">
        <f t="shared" si="1"/>
        <v>0</v>
      </c>
      <c r="L334" s="1">
        <f t="shared" si="2"/>
        <v>1</v>
      </c>
      <c r="M334" s="1" t="str">
        <f>+CONCAT(K334,L334)</f>
        <v>01</v>
      </c>
      <c r="N334" s="1" t="str">
        <f t="shared" si="4"/>
        <v>WIN</v>
      </c>
      <c r="O334" s="1">
        <f t="shared" si="5"/>
        <v>1</v>
      </c>
    </row>
    <row r="335" ht="15.75" customHeight="1">
      <c r="A335" s="24" t="s">
        <v>154</v>
      </c>
      <c r="B335" s="24" t="s">
        <v>1582</v>
      </c>
      <c r="C335" s="22">
        <v>0.9166666666666666</v>
      </c>
      <c r="D335" s="67" t="s">
        <v>24</v>
      </c>
      <c r="E335" s="13"/>
      <c r="F335" s="1" t="s">
        <v>171</v>
      </c>
      <c r="G335" s="24" t="s">
        <v>59</v>
      </c>
      <c r="H335" s="25">
        <v>94902.0</v>
      </c>
      <c r="I335" s="26">
        <v>0.002777777777777778</v>
      </c>
      <c r="J335" s="17" t="s">
        <v>268</v>
      </c>
      <c r="K335" s="1">
        <f t="shared" si="1"/>
        <v>0</v>
      </c>
      <c r="L335" s="1">
        <f t="shared" si="2"/>
        <v>4</v>
      </c>
      <c r="M335" s="1" t="str">
        <f t="shared" ref="M335:M337" si="75">+CONCAT(K335,"-",L335)</f>
        <v>#N/A</v>
      </c>
      <c r="N335" s="1" t="str">
        <f t="shared" si="4"/>
        <v>LOSS</v>
      </c>
      <c r="O335" s="1">
        <f t="shared" si="5"/>
        <v>-1</v>
      </c>
    </row>
    <row r="336" ht="15.75" customHeight="1">
      <c r="A336" s="24" t="s">
        <v>342</v>
      </c>
      <c r="B336" s="24" t="s">
        <v>1583</v>
      </c>
      <c r="C336" s="22">
        <v>0.8958333333333334</v>
      </c>
      <c r="D336" s="67" t="s">
        <v>24</v>
      </c>
      <c r="E336" s="13"/>
      <c r="F336" s="1" t="s">
        <v>579</v>
      </c>
      <c r="G336" s="24" t="s">
        <v>59</v>
      </c>
      <c r="H336" s="25">
        <v>76398.0</v>
      </c>
      <c r="I336" s="26">
        <v>0.1673611111111111</v>
      </c>
      <c r="J336" s="1" t="s">
        <v>500</v>
      </c>
      <c r="K336" s="1">
        <f t="shared" si="1"/>
        <v>4</v>
      </c>
      <c r="L336" s="1">
        <f t="shared" si="2"/>
        <v>1</v>
      </c>
      <c r="M336" s="1" t="str">
        <f t="shared" si="75"/>
        <v>#N/A</v>
      </c>
      <c r="N336" s="1" t="str">
        <f t="shared" si="4"/>
        <v>WIN</v>
      </c>
      <c r="O336" s="1">
        <f t="shared" si="5"/>
        <v>1</v>
      </c>
    </row>
    <row r="337" ht="15.75" customHeight="1">
      <c r="A337" s="24" t="s">
        <v>151</v>
      </c>
      <c r="B337" s="24" t="s">
        <v>1584</v>
      </c>
      <c r="C337" s="22">
        <v>0.875</v>
      </c>
      <c r="D337" s="67" t="s">
        <v>24</v>
      </c>
      <c r="E337" s="13"/>
      <c r="F337" s="1" t="s">
        <v>171</v>
      </c>
      <c r="G337" s="24" t="s">
        <v>59</v>
      </c>
      <c r="H337" s="25">
        <v>92008.0</v>
      </c>
      <c r="I337" s="26">
        <v>0.04236111111111111</v>
      </c>
      <c r="J337" s="1" t="s">
        <v>500</v>
      </c>
      <c r="K337" s="1">
        <f t="shared" si="1"/>
        <v>1</v>
      </c>
      <c r="L337" s="1">
        <f t="shared" si="2"/>
        <v>1</v>
      </c>
      <c r="M337" s="1" t="str">
        <f t="shared" si="75"/>
        <v>#N/A</v>
      </c>
      <c r="N337" s="1" t="str">
        <f t="shared" si="4"/>
        <v>DRAW</v>
      </c>
      <c r="O337" s="1">
        <f t="shared" si="5"/>
        <v>0</v>
      </c>
    </row>
    <row r="338" ht="15.75" customHeight="1">
      <c r="A338" s="24" t="s">
        <v>17</v>
      </c>
      <c r="B338" s="24" t="s">
        <v>1585</v>
      </c>
      <c r="C338" s="22">
        <v>0.875</v>
      </c>
      <c r="D338" s="67" t="s">
        <v>19</v>
      </c>
      <c r="E338" s="13"/>
      <c r="F338" s="1" t="s">
        <v>134</v>
      </c>
      <c r="G338" s="24" t="s">
        <v>21</v>
      </c>
      <c r="H338" s="25">
        <v>48886.0</v>
      </c>
      <c r="I338" s="26">
        <v>0.08680555555555555</v>
      </c>
      <c r="J338" s="17" t="s">
        <v>53</v>
      </c>
      <c r="K338" s="1">
        <f t="shared" si="1"/>
        <v>2</v>
      </c>
      <c r="L338" s="1">
        <f t="shared" si="2"/>
        <v>5</v>
      </c>
      <c r="M338" s="1" t="str">
        <f>+CONCAT(K338,L338)</f>
        <v>25</v>
      </c>
      <c r="N338" s="1" t="str">
        <f t="shared" si="4"/>
        <v>WIN</v>
      </c>
      <c r="O338" s="1">
        <f t="shared" si="5"/>
        <v>1</v>
      </c>
    </row>
    <row r="339" ht="15.75" customHeight="1">
      <c r="A339" s="24" t="s">
        <v>331</v>
      </c>
      <c r="B339" s="24" t="s">
        <v>1586</v>
      </c>
      <c r="C339" s="22">
        <v>0.875</v>
      </c>
      <c r="D339" s="67" t="s">
        <v>24</v>
      </c>
      <c r="E339" s="13"/>
      <c r="F339" s="1" t="s">
        <v>333</v>
      </c>
      <c r="G339" s="24" t="s">
        <v>59</v>
      </c>
      <c r="H339" s="25">
        <v>77411.0</v>
      </c>
      <c r="I339" s="26">
        <v>0.20902777777777778</v>
      </c>
      <c r="J339" s="17" t="s">
        <v>268</v>
      </c>
      <c r="K339" s="1">
        <f t="shared" si="1"/>
        <v>5</v>
      </c>
      <c r="L339" s="1">
        <f t="shared" si="2"/>
        <v>1</v>
      </c>
      <c r="M339" s="1" t="str">
        <f t="shared" ref="M339:M340" si="76">+CONCAT(K339,"-",L339)</f>
        <v>#N/A</v>
      </c>
      <c r="N339" s="1" t="str">
        <f t="shared" si="4"/>
        <v>WIN</v>
      </c>
      <c r="O339" s="1">
        <f t="shared" si="5"/>
        <v>1</v>
      </c>
    </row>
    <row r="340" ht="15.75" customHeight="1">
      <c r="A340" s="24" t="s">
        <v>416</v>
      </c>
      <c r="B340" s="24" t="s">
        <v>1587</v>
      </c>
      <c r="C340" s="22">
        <v>0.875</v>
      </c>
      <c r="D340" s="67" t="s">
        <v>19</v>
      </c>
      <c r="E340" s="13"/>
      <c r="F340" s="1" t="s">
        <v>132</v>
      </c>
      <c r="G340" s="24" t="s">
        <v>59</v>
      </c>
      <c r="H340" s="24" t="s">
        <v>1371</v>
      </c>
      <c r="I340" s="26">
        <v>0.125</v>
      </c>
      <c r="J340" s="17" t="s">
        <v>354</v>
      </c>
      <c r="K340" s="1">
        <f t="shared" si="1"/>
        <v>3</v>
      </c>
      <c r="L340" s="1">
        <f t="shared" si="2"/>
        <v>0</v>
      </c>
      <c r="M340" s="1" t="str">
        <f t="shared" si="76"/>
        <v>#N/A</v>
      </c>
      <c r="N340" s="1" t="str">
        <f t="shared" si="4"/>
        <v>LOSS</v>
      </c>
      <c r="O340" s="1">
        <f t="shared" si="5"/>
        <v>-1</v>
      </c>
    </row>
    <row r="341" ht="15.75" customHeight="1">
      <c r="A341" s="24" t="s">
        <v>147</v>
      </c>
      <c r="B341" s="24" t="s">
        <v>1588</v>
      </c>
      <c r="C341" s="22">
        <v>0.875</v>
      </c>
      <c r="D341" s="67" t="s">
        <v>24</v>
      </c>
      <c r="E341" s="13"/>
      <c r="F341" s="1" t="s">
        <v>138</v>
      </c>
      <c r="G341" s="24" t="s">
        <v>21</v>
      </c>
      <c r="H341" s="25">
        <v>49760.0</v>
      </c>
      <c r="I341" s="26">
        <v>0.16666666666666666</v>
      </c>
      <c r="J341" s="17" t="s">
        <v>53</v>
      </c>
      <c r="K341" s="1">
        <f t="shared" si="1"/>
        <v>4</v>
      </c>
      <c r="L341" s="1">
        <f t="shared" si="2"/>
        <v>0</v>
      </c>
      <c r="M341" s="1" t="str">
        <f>+CONCAT(K341,L341)</f>
        <v>40</v>
      </c>
      <c r="N341" s="1" t="str">
        <f t="shared" si="4"/>
        <v>WIN</v>
      </c>
      <c r="O341" s="1">
        <f t="shared" si="5"/>
        <v>1</v>
      </c>
    </row>
    <row r="342" ht="15.75" customHeight="1">
      <c r="A342" s="1">
        <v>34.0</v>
      </c>
      <c r="B342" s="24" t="s">
        <v>1589</v>
      </c>
      <c r="C342" s="22">
        <v>0.8333333333333334</v>
      </c>
      <c r="D342" s="67" t="s">
        <v>24</v>
      </c>
      <c r="E342" s="13" t="s">
        <v>30</v>
      </c>
      <c r="F342" s="1" t="s">
        <v>303</v>
      </c>
      <c r="G342" s="24" t="s">
        <v>59</v>
      </c>
      <c r="H342" s="25">
        <v>54743.0</v>
      </c>
      <c r="I342" s="26">
        <v>0.20902777777777778</v>
      </c>
      <c r="J342" s="1" t="s">
        <v>591</v>
      </c>
      <c r="K342" s="1">
        <f t="shared" si="1"/>
        <v>5</v>
      </c>
      <c r="L342" s="1">
        <f t="shared" si="2"/>
        <v>1</v>
      </c>
      <c r="M342" s="1" t="str">
        <f t="shared" ref="M342:M343" si="77">+CONCAT(K342,"-",L342)</f>
        <v>#N/A</v>
      </c>
      <c r="N342" s="1" t="str">
        <f t="shared" si="4"/>
        <v>WIN</v>
      </c>
      <c r="O342" s="1">
        <f t="shared" si="5"/>
        <v>1</v>
      </c>
    </row>
    <row r="343" ht="15.75" customHeight="1">
      <c r="A343" s="24" t="s">
        <v>147</v>
      </c>
      <c r="B343" s="24" t="s">
        <v>1590</v>
      </c>
      <c r="C343" s="22">
        <v>0.875</v>
      </c>
      <c r="D343" s="67" t="s">
        <v>19</v>
      </c>
      <c r="E343" s="13"/>
      <c r="F343" s="1" t="s">
        <v>341</v>
      </c>
      <c r="G343" s="24" t="s">
        <v>59</v>
      </c>
      <c r="H343" s="25">
        <v>74093.0</v>
      </c>
      <c r="I343" s="26">
        <v>6.944444444444445E-4</v>
      </c>
      <c r="J343" s="1" t="s">
        <v>500</v>
      </c>
      <c r="K343" s="1">
        <f t="shared" si="1"/>
        <v>0</v>
      </c>
      <c r="L343" s="1">
        <f t="shared" si="2"/>
        <v>1</v>
      </c>
      <c r="M343" s="1" t="str">
        <f t="shared" si="77"/>
        <v>#N/A</v>
      </c>
      <c r="N343" s="1" t="str">
        <f t="shared" si="4"/>
        <v>WIN</v>
      </c>
      <c r="O343" s="1">
        <f t="shared" si="5"/>
        <v>1</v>
      </c>
    </row>
    <row r="344" ht="15.75" customHeight="1">
      <c r="A344" s="24" t="s">
        <v>147</v>
      </c>
      <c r="B344" s="24" t="s">
        <v>1591</v>
      </c>
      <c r="C344" s="22">
        <v>0.875</v>
      </c>
      <c r="D344" s="67" t="s">
        <v>19</v>
      </c>
      <c r="E344" s="13"/>
      <c r="F344" s="1" t="s">
        <v>25</v>
      </c>
      <c r="G344" s="24" t="s">
        <v>59</v>
      </c>
      <c r="H344" s="25">
        <v>47470.0</v>
      </c>
      <c r="I344" s="26">
        <v>0.08541666666666667</v>
      </c>
      <c r="J344" s="17" t="s">
        <v>175</v>
      </c>
      <c r="K344" s="1">
        <f t="shared" si="1"/>
        <v>2</v>
      </c>
      <c r="L344" s="1">
        <f t="shared" si="2"/>
        <v>3</v>
      </c>
      <c r="M344" s="1" t="str">
        <f t="shared" ref="M344:M345" si="78">+CONCAT(K344,L344)</f>
        <v>23</v>
      </c>
      <c r="N344" s="1" t="str">
        <f t="shared" si="4"/>
        <v>WIN</v>
      </c>
      <c r="O344" s="1">
        <f t="shared" si="5"/>
        <v>1</v>
      </c>
    </row>
    <row r="345" ht="15.75" customHeight="1">
      <c r="A345" s="24" t="s">
        <v>17</v>
      </c>
      <c r="B345" s="24" t="s">
        <v>1592</v>
      </c>
      <c r="C345" s="22">
        <v>0.875</v>
      </c>
      <c r="D345" s="67" t="s">
        <v>19</v>
      </c>
      <c r="E345" s="13"/>
      <c r="F345" s="1" t="s">
        <v>138</v>
      </c>
      <c r="G345" s="24" t="s">
        <v>21</v>
      </c>
      <c r="H345" s="27">
        <v>81365.0</v>
      </c>
      <c r="I345" s="26">
        <v>0.08541666666666667</v>
      </c>
      <c r="J345" s="17" t="s">
        <v>53</v>
      </c>
      <c r="K345" s="1">
        <f t="shared" si="1"/>
        <v>2</v>
      </c>
      <c r="L345" s="1">
        <f t="shared" si="2"/>
        <v>3</v>
      </c>
      <c r="M345" s="1" t="str">
        <f t="shared" si="78"/>
        <v>23</v>
      </c>
      <c r="N345" s="1" t="str">
        <f t="shared" si="4"/>
        <v>WIN</v>
      </c>
      <c r="O345" s="1">
        <f t="shared" si="5"/>
        <v>1</v>
      </c>
    </row>
    <row r="346" ht="15.75" customHeight="1">
      <c r="A346" s="24" t="s">
        <v>331</v>
      </c>
      <c r="B346" s="24" t="s">
        <v>1593</v>
      </c>
      <c r="C346" s="22">
        <v>0.875</v>
      </c>
      <c r="D346" s="67" t="s">
        <v>24</v>
      </c>
      <c r="E346" s="13"/>
      <c r="F346" s="1" t="s">
        <v>153</v>
      </c>
      <c r="G346" s="24" t="s">
        <v>59</v>
      </c>
      <c r="H346" s="25">
        <v>92302.0</v>
      </c>
      <c r="I346" s="26">
        <v>0.12708333333333333</v>
      </c>
      <c r="J346" s="17" t="s">
        <v>268</v>
      </c>
      <c r="K346" s="1">
        <f t="shared" si="1"/>
        <v>3</v>
      </c>
      <c r="L346" s="1">
        <f t="shared" si="2"/>
        <v>3</v>
      </c>
      <c r="M346" s="1" t="str">
        <f t="shared" ref="M346:M347" si="79">+CONCAT(K346,"-",L346)</f>
        <v>#N/A</v>
      </c>
      <c r="N346" s="1" t="str">
        <f t="shared" si="4"/>
        <v>DRAW</v>
      </c>
      <c r="O346" s="1">
        <f t="shared" si="5"/>
        <v>0</v>
      </c>
    </row>
    <row r="347" ht="15.75" customHeight="1">
      <c r="A347" s="24" t="s">
        <v>145</v>
      </c>
      <c r="B347" s="24" t="s">
        <v>1594</v>
      </c>
      <c r="C347" s="22">
        <v>0.875</v>
      </c>
      <c r="D347" s="67" t="s">
        <v>24</v>
      </c>
      <c r="E347" s="13"/>
      <c r="F347" s="1" t="s">
        <v>571</v>
      </c>
      <c r="G347" s="24" t="s">
        <v>59</v>
      </c>
      <c r="H347" s="25">
        <v>92346.0</v>
      </c>
      <c r="I347" s="26">
        <v>0.20902777777777778</v>
      </c>
      <c r="J347" s="1" t="s">
        <v>500</v>
      </c>
      <c r="K347" s="1">
        <f t="shared" si="1"/>
        <v>5</v>
      </c>
      <c r="L347" s="1">
        <f t="shared" si="2"/>
        <v>1</v>
      </c>
      <c r="M347" s="1" t="str">
        <f t="shared" si="79"/>
        <v>#N/A</v>
      </c>
      <c r="N347" s="1" t="str">
        <f t="shared" si="4"/>
        <v>WIN</v>
      </c>
      <c r="O347" s="1">
        <f t="shared" si="5"/>
        <v>1</v>
      </c>
    </row>
    <row r="348" ht="15.75" customHeight="1">
      <c r="A348" s="24" t="s">
        <v>245</v>
      </c>
      <c r="B348" s="24" t="s">
        <v>1595</v>
      </c>
      <c r="C348" s="22">
        <v>0.875</v>
      </c>
      <c r="D348" s="67" t="s">
        <v>19</v>
      </c>
      <c r="E348" s="13"/>
      <c r="F348" s="1" t="s">
        <v>247</v>
      </c>
      <c r="G348" s="24" t="s">
        <v>59</v>
      </c>
      <c r="H348" s="25">
        <v>13550.0</v>
      </c>
      <c r="I348" s="26">
        <v>0.12638888888888888</v>
      </c>
      <c r="J348" s="17" t="s">
        <v>175</v>
      </c>
      <c r="K348" s="1">
        <f t="shared" si="1"/>
        <v>3</v>
      </c>
      <c r="L348" s="1">
        <f t="shared" si="2"/>
        <v>2</v>
      </c>
      <c r="M348" s="1" t="str">
        <f>+CONCAT(K348,L348)</f>
        <v>32</v>
      </c>
      <c r="N348" s="1" t="str">
        <f t="shared" si="4"/>
        <v>LOSS</v>
      </c>
      <c r="O348" s="1">
        <f t="shared" si="5"/>
        <v>-1</v>
      </c>
    </row>
    <row r="349" ht="15.75" customHeight="1">
      <c r="A349" s="24" t="s">
        <v>145</v>
      </c>
      <c r="B349" s="24" t="s">
        <v>1596</v>
      </c>
      <c r="C349" s="22">
        <v>0.8645833333333334</v>
      </c>
      <c r="D349" s="67" t="s">
        <v>24</v>
      </c>
      <c r="E349" s="13"/>
      <c r="F349" s="1" t="s">
        <v>661</v>
      </c>
      <c r="G349" s="24" t="s">
        <v>483</v>
      </c>
      <c r="H349" s="25">
        <v>97183.0</v>
      </c>
      <c r="I349" s="26">
        <v>0.125</v>
      </c>
      <c r="J349" s="1" t="s">
        <v>591</v>
      </c>
      <c r="K349" s="1">
        <f t="shared" si="1"/>
        <v>3</v>
      </c>
      <c r="L349" s="1">
        <f t="shared" si="2"/>
        <v>0</v>
      </c>
      <c r="M349" s="1" t="str">
        <f>+CONCAT(K349,"-",L349)</f>
        <v>#N/A</v>
      </c>
      <c r="N349" s="1" t="str">
        <f t="shared" si="4"/>
        <v>WIN</v>
      </c>
      <c r="O349" s="1">
        <f t="shared" si="5"/>
        <v>1</v>
      </c>
    </row>
    <row r="350" ht="15.75" customHeight="1">
      <c r="A350" s="24" t="s">
        <v>160</v>
      </c>
      <c r="B350" s="24" t="s">
        <v>1597</v>
      </c>
      <c r="C350" s="22">
        <v>0.875</v>
      </c>
      <c r="D350" s="67" t="s">
        <v>24</v>
      </c>
      <c r="E350" s="13"/>
      <c r="F350" s="1" t="s">
        <v>162</v>
      </c>
      <c r="G350" s="24" t="s">
        <v>59</v>
      </c>
      <c r="H350" s="25">
        <v>46019.0</v>
      </c>
      <c r="I350" s="26">
        <v>0.20902777777777778</v>
      </c>
      <c r="J350" s="17" t="s">
        <v>53</v>
      </c>
      <c r="K350" s="1">
        <f t="shared" si="1"/>
        <v>5</v>
      </c>
      <c r="L350" s="1">
        <f t="shared" si="2"/>
        <v>1</v>
      </c>
      <c r="M350" s="1" t="str">
        <f>+CONCAT(K350,L350)</f>
        <v>51</v>
      </c>
      <c r="N350" s="1" t="str">
        <f t="shared" si="4"/>
        <v>WIN</v>
      </c>
      <c r="O350" s="1">
        <f t="shared" si="5"/>
        <v>1</v>
      </c>
    </row>
    <row r="351" ht="15.75" customHeight="1">
      <c r="A351" s="24" t="s">
        <v>147</v>
      </c>
      <c r="B351" s="24" t="s">
        <v>1598</v>
      </c>
      <c r="C351" s="22">
        <v>0.875</v>
      </c>
      <c r="D351" s="67" t="s">
        <v>19</v>
      </c>
      <c r="E351" s="13"/>
      <c r="F351" s="1" t="s">
        <v>673</v>
      </c>
      <c r="G351" s="24" t="s">
        <v>370</v>
      </c>
      <c r="H351" s="25">
        <v>23323.0</v>
      </c>
      <c r="I351" s="26">
        <v>0.041666666666666664</v>
      </c>
      <c r="J351" s="1" t="s">
        <v>591</v>
      </c>
      <c r="K351" s="1">
        <f t="shared" si="1"/>
        <v>1</v>
      </c>
      <c r="L351" s="1">
        <f t="shared" si="2"/>
        <v>0</v>
      </c>
      <c r="M351" s="1" t="str">
        <f t="shared" ref="M351:M354" si="80">+CONCAT(K351,"-",L351)</f>
        <v>#N/A</v>
      </c>
      <c r="N351" s="1" t="str">
        <f t="shared" si="4"/>
        <v>LOSS</v>
      </c>
      <c r="O351" s="1">
        <f t="shared" si="5"/>
        <v>-1</v>
      </c>
    </row>
    <row r="352" ht="15.75" customHeight="1">
      <c r="A352" s="24" t="s">
        <v>651</v>
      </c>
      <c r="B352" s="24" t="s">
        <v>1599</v>
      </c>
      <c r="C352" s="22">
        <v>0.8645833333333334</v>
      </c>
      <c r="D352" s="67" t="s">
        <v>24</v>
      </c>
      <c r="E352" s="13"/>
      <c r="F352" s="1" t="s">
        <v>27</v>
      </c>
      <c r="G352" s="24" t="s">
        <v>59</v>
      </c>
      <c r="H352" s="25">
        <v>55026.0</v>
      </c>
      <c r="I352" s="26">
        <v>0.12569444444444444</v>
      </c>
      <c r="J352" s="1" t="s">
        <v>591</v>
      </c>
      <c r="K352" s="1">
        <f t="shared" si="1"/>
        <v>3</v>
      </c>
      <c r="L352" s="1">
        <f t="shared" si="2"/>
        <v>1</v>
      </c>
      <c r="M352" s="1" t="str">
        <f t="shared" si="80"/>
        <v>#N/A</v>
      </c>
      <c r="N352" s="1" t="str">
        <f t="shared" si="4"/>
        <v>WIN</v>
      </c>
      <c r="O352" s="1">
        <f t="shared" si="5"/>
        <v>1</v>
      </c>
    </row>
    <row r="353" ht="15.75" customHeight="1">
      <c r="A353" s="1">
        <v>10.0</v>
      </c>
      <c r="B353" s="24" t="s">
        <v>1600</v>
      </c>
      <c r="C353" s="22">
        <v>0.8333333333333334</v>
      </c>
      <c r="D353" s="67" t="s">
        <v>24</v>
      </c>
      <c r="E353" s="13" t="s">
        <v>30</v>
      </c>
      <c r="F353" s="1" t="s">
        <v>73</v>
      </c>
      <c r="G353" s="24" t="s">
        <v>59</v>
      </c>
      <c r="H353" s="25">
        <v>93426.0</v>
      </c>
      <c r="I353" s="26">
        <v>0.0</v>
      </c>
      <c r="J353" s="1" t="s">
        <v>437</v>
      </c>
      <c r="K353" s="1">
        <f t="shared" si="1"/>
        <v>0</v>
      </c>
      <c r="L353" s="1">
        <f t="shared" si="2"/>
        <v>0</v>
      </c>
      <c r="M353" s="1" t="str">
        <f t="shared" si="80"/>
        <v>#N/A</v>
      </c>
      <c r="N353" s="1" t="str">
        <f t="shared" si="4"/>
        <v>DRAW</v>
      </c>
      <c r="O353" s="1">
        <f t="shared" si="5"/>
        <v>0</v>
      </c>
    </row>
    <row r="354" ht="15.75" customHeight="1">
      <c r="A354" s="24" t="s">
        <v>416</v>
      </c>
      <c r="B354" s="24" t="s">
        <v>1601</v>
      </c>
      <c r="C354" s="22">
        <v>0.78125</v>
      </c>
      <c r="D354" s="67" t="s">
        <v>24</v>
      </c>
      <c r="E354" s="13"/>
      <c r="F354" s="1" t="s">
        <v>421</v>
      </c>
      <c r="G354" s="24" t="s">
        <v>59</v>
      </c>
      <c r="H354" s="25">
        <v>45968.0</v>
      </c>
      <c r="I354" s="26">
        <v>0.041666666666666664</v>
      </c>
      <c r="J354" s="17" t="s">
        <v>354</v>
      </c>
      <c r="K354" s="1">
        <f t="shared" si="1"/>
        <v>1</v>
      </c>
      <c r="L354" s="1">
        <f t="shared" si="2"/>
        <v>0</v>
      </c>
      <c r="M354" s="1" t="str">
        <f t="shared" si="80"/>
        <v>#N/A</v>
      </c>
      <c r="N354" s="1" t="str">
        <f t="shared" si="4"/>
        <v>WIN</v>
      </c>
      <c r="O354" s="1">
        <f t="shared" si="5"/>
        <v>1</v>
      </c>
    </row>
    <row r="355" ht="15.75" customHeight="1">
      <c r="A355" s="1">
        <v>18.0</v>
      </c>
      <c r="B355" s="24" t="s">
        <v>1602</v>
      </c>
      <c r="C355" s="22">
        <v>0.7916666666666666</v>
      </c>
      <c r="D355" s="67" t="s">
        <v>24</v>
      </c>
      <c r="E355" s="13" t="s">
        <v>43</v>
      </c>
      <c r="F355" s="1" t="s">
        <v>209</v>
      </c>
      <c r="G355" s="24" t="s">
        <v>59</v>
      </c>
      <c r="H355" s="25">
        <v>34471.0</v>
      </c>
      <c r="I355" s="26">
        <v>0.12638888888888888</v>
      </c>
      <c r="J355" s="17" t="s">
        <v>175</v>
      </c>
      <c r="K355" s="1">
        <f t="shared" si="1"/>
        <v>3</v>
      </c>
      <c r="L355" s="1">
        <f t="shared" si="2"/>
        <v>2</v>
      </c>
      <c r="M355" s="1" t="str">
        <f t="shared" ref="M355:M356" si="81">+CONCAT(K355,L355)</f>
        <v>32</v>
      </c>
      <c r="N355" s="1" t="str">
        <f t="shared" si="4"/>
        <v>WIN</v>
      </c>
      <c r="O355" s="1">
        <f t="shared" si="5"/>
        <v>1</v>
      </c>
    </row>
    <row r="356" ht="15.75" customHeight="1">
      <c r="A356" s="24" t="s">
        <v>143</v>
      </c>
      <c r="B356" s="24" t="s">
        <v>1603</v>
      </c>
      <c r="C356" s="22">
        <v>0.875</v>
      </c>
      <c r="D356" s="67" t="s">
        <v>19</v>
      </c>
      <c r="E356" s="13"/>
      <c r="F356" s="1" t="s">
        <v>256</v>
      </c>
      <c r="G356" s="24" t="s">
        <v>59</v>
      </c>
      <c r="H356" s="25">
        <v>49529.0</v>
      </c>
      <c r="I356" s="26">
        <v>0.04236111111111111</v>
      </c>
      <c r="J356" s="17" t="s">
        <v>175</v>
      </c>
      <c r="K356" s="1">
        <f t="shared" si="1"/>
        <v>1</v>
      </c>
      <c r="L356" s="1">
        <f t="shared" si="2"/>
        <v>1</v>
      </c>
      <c r="M356" s="1" t="str">
        <f t="shared" si="81"/>
        <v>11</v>
      </c>
      <c r="N356" s="1" t="str">
        <f t="shared" si="4"/>
        <v>DRAW</v>
      </c>
      <c r="O356" s="1">
        <f t="shared" si="5"/>
        <v>0</v>
      </c>
    </row>
    <row r="357" ht="15.75" customHeight="1">
      <c r="A357" s="24" t="s">
        <v>157</v>
      </c>
      <c r="B357" s="24" t="s">
        <v>1604</v>
      </c>
      <c r="C357" s="22">
        <v>0.7916666666666666</v>
      </c>
      <c r="D357" s="67" t="s">
        <v>19</v>
      </c>
      <c r="E357" s="13"/>
      <c r="F357" s="1" t="s">
        <v>495</v>
      </c>
      <c r="G357" s="24" t="s">
        <v>418</v>
      </c>
      <c r="H357" s="25">
        <v>6445.0</v>
      </c>
      <c r="I357" s="26">
        <v>0.043055555555555555</v>
      </c>
      <c r="J357" s="1" t="s">
        <v>437</v>
      </c>
      <c r="K357" s="1">
        <f t="shared" si="1"/>
        <v>1</v>
      </c>
      <c r="L357" s="1">
        <f t="shared" si="2"/>
        <v>2</v>
      </c>
      <c r="M357" s="1" t="str">
        <f t="shared" ref="M357:M360" si="82">+CONCAT(K357,"-",L357)</f>
        <v>#N/A</v>
      </c>
      <c r="N357" s="1" t="str">
        <f t="shared" si="4"/>
        <v>WIN</v>
      </c>
      <c r="O357" s="1">
        <f t="shared" si="5"/>
        <v>1</v>
      </c>
    </row>
    <row r="358" ht="15.75" customHeight="1">
      <c r="A358" s="24" t="s">
        <v>651</v>
      </c>
      <c r="B358" s="24" t="s">
        <v>1605</v>
      </c>
      <c r="C358" s="22">
        <v>0.8645833333333334</v>
      </c>
      <c r="D358" s="67" t="s">
        <v>19</v>
      </c>
      <c r="E358" s="13"/>
      <c r="F358" s="1" t="s">
        <v>653</v>
      </c>
      <c r="G358" s="24" t="s">
        <v>59</v>
      </c>
      <c r="H358" s="25">
        <v>40876.0</v>
      </c>
      <c r="I358" s="26">
        <v>0.0</v>
      </c>
      <c r="J358" s="1" t="s">
        <v>591</v>
      </c>
      <c r="K358" s="1">
        <f t="shared" si="1"/>
        <v>0</v>
      </c>
      <c r="L358" s="1">
        <f t="shared" si="2"/>
        <v>0</v>
      </c>
      <c r="M358" s="1" t="str">
        <f t="shared" si="82"/>
        <v>#N/A</v>
      </c>
      <c r="N358" s="1" t="str">
        <f t="shared" si="4"/>
        <v>DRAW</v>
      </c>
      <c r="O358" s="1">
        <f t="shared" si="5"/>
        <v>0</v>
      </c>
    </row>
    <row r="359" ht="15.75" customHeight="1">
      <c r="A359" s="24" t="s">
        <v>147</v>
      </c>
      <c r="B359" s="24" t="s">
        <v>1606</v>
      </c>
      <c r="C359" s="22">
        <v>0.8958333333333334</v>
      </c>
      <c r="D359" s="67" t="s">
        <v>19</v>
      </c>
      <c r="E359" s="13"/>
      <c r="F359" s="1" t="s">
        <v>585</v>
      </c>
      <c r="G359" s="24" t="s">
        <v>59</v>
      </c>
      <c r="H359" s="25">
        <v>38403.0</v>
      </c>
      <c r="I359" s="26">
        <v>0.08333333333333333</v>
      </c>
      <c r="J359" s="1" t="s">
        <v>500</v>
      </c>
      <c r="K359" s="1">
        <f t="shared" si="1"/>
        <v>2</v>
      </c>
      <c r="L359" s="1">
        <f t="shared" si="2"/>
        <v>0</v>
      </c>
      <c r="M359" s="1" t="str">
        <f t="shared" si="82"/>
        <v>#N/A</v>
      </c>
      <c r="N359" s="1" t="str">
        <f t="shared" si="4"/>
        <v>LOSS</v>
      </c>
      <c r="O359" s="1">
        <f t="shared" si="5"/>
        <v>-1</v>
      </c>
    </row>
    <row r="360" ht="15.75" customHeight="1">
      <c r="A360" s="24" t="s">
        <v>485</v>
      </c>
      <c r="B360" s="24" t="s">
        <v>1607</v>
      </c>
      <c r="C360" s="22">
        <v>0.875</v>
      </c>
      <c r="D360" s="67" t="s">
        <v>19</v>
      </c>
      <c r="E360" s="13"/>
      <c r="F360" s="1" t="s">
        <v>489</v>
      </c>
      <c r="G360" s="24" t="s">
        <v>59</v>
      </c>
      <c r="H360" s="25">
        <v>19170.0</v>
      </c>
      <c r="I360" s="26">
        <v>0.043055555555555555</v>
      </c>
      <c r="J360" s="1" t="s">
        <v>437</v>
      </c>
      <c r="K360" s="1">
        <f t="shared" si="1"/>
        <v>1</v>
      </c>
      <c r="L360" s="1">
        <f t="shared" si="2"/>
        <v>2</v>
      </c>
      <c r="M360" s="1" t="str">
        <f t="shared" si="82"/>
        <v>#N/A</v>
      </c>
      <c r="N360" s="1" t="str">
        <f t="shared" si="4"/>
        <v>WIN</v>
      </c>
      <c r="O360" s="1">
        <f t="shared" si="5"/>
        <v>1</v>
      </c>
    </row>
    <row r="361" ht="15.75" customHeight="1">
      <c r="A361" s="24" t="s">
        <v>17</v>
      </c>
      <c r="B361" s="24" t="s">
        <v>1608</v>
      </c>
      <c r="C361" s="22">
        <v>0.875</v>
      </c>
      <c r="D361" s="67" t="s">
        <v>24</v>
      </c>
      <c r="E361" s="13"/>
      <c r="F361" s="1" t="s">
        <v>132</v>
      </c>
      <c r="G361" s="24" t="s">
        <v>21</v>
      </c>
      <c r="H361" s="25">
        <v>50312.0</v>
      </c>
      <c r="I361" s="26">
        <v>0.1673611111111111</v>
      </c>
      <c r="J361" s="17" t="s">
        <v>53</v>
      </c>
      <c r="K361" s="1">
        <f t="shared" si="1"/>
        <v>4</v>
      </c>
      <c r="L361" s="1">
        <f t="shared" si="2"/>
        <v>1</v>
      </c>
      <c r="M361" s="1" t="str">
        <f t="shared" ref="M361:M362" si="83">+CONCAT(K361,L361)</f>
        <v>41</v>
      </c>
      <c r="N361" s="1" t="str">
        <f t="shared" si="4"/>
        <v>WIN</v>
      </c>
      <c r="O361" s="1">
        <f t="shared" si="5"/>
        <v>1</v>
      </c>
    </row>
    <row r="362" ht="15.75" customHeight="1">
      <c r="A362" s="24" t="s">
        <v>163</v>
      </c>
      <c r="B362" s="24" t="s">
        <v>1609</v>
      </c>
      <c r="C362" s="22">
        <v>0.8958333333333334</v>
      </c>
      <c r="D362" s="67" t="s">
        <v>19</v>
      </c>
      <c r="E362" s="13"/>
      <c r="F362" s="1" t="s">
        <v>264</v>
      </c>
      <c r="G362" s="24" t="s">
        <v>59</v>
      </c>
      <c r="H362" s="25">
        <v>50403.0</v>
      </c>
      <c r="I362" s="28" t="s">
        <v>265</v>
      </c>
      <c r="J362" s="17" t="s">
        <v>175</v>
      </c>
      <c r="K362" s="1" t="str">
        <f t="shared" si="1"/>
        <v>#VALUE!</v>
      </c>
      <c r="L362" s="1" t="str">
        <f t="shared" si="2"/>
        <v>#VALUE!</v>
      </c>
      <c r="M362" s="1" t="str">
        <f t="shared" si="83"/>
        <v>#VALUE!</v>
      </c>
      <c r="N362" s="1" t="str">
        <f t="shared" si="4"/>
        <v>#VALUE!</v>
      </c>
      <c r="O362" s="1" t="str">
        <f t="shared" si="5"/>
        <v>#VALUE!</v>
      </c>
    </row>
    <row r="363" ht="15.75" customHeight="1">
      <c r="A363" s="24" t="s">
        <v>561</v>
      </c>
      <c r="B363" s="24" t="s">
        <v>1610</v>
      </c>
      <c r="C363" s="22">
        <v>0.875</v>
      </c>
      <c r="D363" s="67" t="s">
        <v>24</v>
      </c>
      <c r="E363" s="13"/>
      <c r="F363" s="1" t="s">
        <v>153</v>
      </c>
      <c r="G363" s="24" t="s">
        <v>59</v>
      </c>
      <c r="H363" s="25">
        <v>86290.0</v>
      </c>
      <c r="I363" s="26">
        <v>0.08333333333333333</v>
      </c>
      <c r="J363" s="1" t="s">
        <v>500</v>
      </c>
      <c r="K363" s="1">
        <f t="shared" si="1"/>
        <v>2</v>
      </c>
      <c r="L363" s="1">
        <f t="shared" si="2"/>
        <v>0</v>
      </c>
      <c r="M363" s="1" t="str">
        <f t="shared" ref="M363:M364" si="84">+CONCAT(K363,"-",L363)</f>
        <v>#N/A</v>
      </c>
      <c r="N363" s="1" t="str">
        <f t="shared" si="4"/>
        <v>WIN</v>
      </c>
      <c r="O363" s="1">
        <f t="shared" si="5"/>
        <v>1</v>
      </c>
    </row>
    <row r="364" ht="15.75" customHeight="1">
      <c r="A364" s="24" t="s">
        <v>163</v>
      </c>
      <c r="B364" s="24" t="s">
        <v>1611</v>
      </c>
      <c r="C364" s="22">
        <v>0.875</v>
      </c>
      <c r="D364" s="67" t="s">
        <v>24</v>
      </c>
      <c r="E364" s="13"/>
      <c r="F364" s="1" t="s">
        <v>350</v>
      </c>
      <c r="G364" s="24" t="s">
        <v>59</v>
      </c>
      <c r="H364" s="25">
        <v>59610.0</v>
      </c>
      <c r="I364" s="26">
        <v>0.041666666666666664</v>
      </c>
      <c r="J364" s="17" t="s">
        <v>268</v>
      </c>
      <c r="K364" s="1">
        <f t="shared" si="1"/>
        <v>1</v>
      </c>
      <c r="L364" s="1">
        <f t="shared" si="2"/>
        <v>0</v>
      </c>
      <c r="M364" s="1" t="str">
        <f t="shared" si="84"/>
        <v>#N/A</v>
      </c>
      <c r="N364" s="1" t="str">
        <f t="shared" si="4"/>
        <v>WIN</v>
      </c>
      <c r="O364" s="1">
        <f t="shared" si="5"/>
        <v>1</v>
      </c>
    </row>
    <row r="365" ht="15.75" customHeight="1">
      <c r="A365" s="1">
        <v>7.0</v>
      </c>
      <c r="B365" s="24" t="s">
        <v>1612</v>
      </c>
      <c r="C365" s="22">
        <v>0.875</v>
      </c>
      <c r="D365" s="67" t="s">
        <v>24</v>
      </c>
      <c r="E365" s="13" t="s">
        <v>30</v>
      </c>
      <c r="F365" s="1" t="s">
        <v>65</v>
      </c>
      <c r="G365" s="24" t="s">
        <v>59</v>
      </c>
      <c r="H365" s="25">
        <v>44407.0</v>
      </c>
      <c r="I365" s="26">
        <v>0.041666666666666664</v>
      </c>
      <c r="J365" s="17" t="s">
        <v>53</v>
      </c>
      <c r="K365" s="1">
        <f t="shared" si="1"/>
        <v>1</v>
      </c>
      <c r="L365" s="1">
        <f t="shared" si="2"/>
        <v>0</v>
      </c>
      <c r="M365" s="1" t="str">
        <f t="shared" ref="M365:M366" si="85">+CONCAT(K365,L365)</f>
        <v>10</v>
      </c>
      <c r="N365" s="1" t="str">
        <f t="shared" si="4"/>
        <v>WIN</v>
      </c>
      <c r="O365" s="1">
        <f t="shared" si="5"/>
        <v>1</v>
      </c>
    </row>
    <row r="366" ht="15.75" customHeight="1">
      <c r="A366" s="24" t="s">
        <v>245</v>
      </c>
      <c r="B366" s="24" t="s">
        <v>1613</v>
      </c>
      <c r="C366" s="22">
        <v>0.78125</v>
      </c>
      <c r="D366" s="67" t="s">
        <v>24</v>
      </c>
      <c r="E366" s="13"/>
      <c r="F366" s="1" t="s">
        <v>251</v>
      </c>
      <c r="G366" s="24" t="s">
        <v>59</v>
      </c>
      <c r="H366" s="25">
        <v>41409.0</v>
      </c>
      <c r="I366" s="26">
        <v>0.08402777777777778</v>
      </c>
      <c r="J366" s="17" t="s">
        <v>175</v>
      </c>
      <c r="K366" s="1">
        <f t="shared" si="1"/>
        <v>2</v>
      </c>
      <c r="L366" s="1">
        <f t="shared" si="2"/>
        <v>1</v>
      </c>
      <c r="M366" s="1" t="str">
        <f t="shared" si="85"/>
        <v>21</v>
      </c>
      <c r="N366" s="1" t="str">
        <f t="shared" si="4"/>
        <v>WIN</v>
      </c>
      <c r="O366" s="1">
        <f t="shared" si="5"/>
        <v>1</v>
      </c>
    </row>
    <row r="367" ht="15.75" customHeight="1">
      <c r="A367" s="1">
        <v>31.0</v>
      </c>
      <c r="B367" s="24" t="s">
        <v>1614</v>
      </c>
      <c r="C367" s="22">
        <v>0.9166666666666666</v>
      </c>
      <c r="D367" s="67" t="s">
        <v>19</v>
      </c>
      <c r="E367" s="13" t="s">
        <v>30</v>
      </c>
      <c r="F367" s="1" t="s">
        <v>319</v>
      </c>
      <c r="G367" s="24" t="s">
        <v>59</v>
      </c>
      <c r="H367" s="25">
        <v>13657.0</v>
      </c>
      <c r="I367" s="26">
        <v>0.08402777777777778</v>
      </c>
      <c r="J367" s="17" t="s">
        <v>268</v>
      </c>
      <c r="K367" s="1">
        <f t="shared" si="1"/>
        <v>2</v>
      </c>
      <c r="L367" s="1">
        <f t="shared" si="2"/>
        <v>1</v>
      </c>
      <c r="M367" s="1" t="str">
        <f t="shared" ref="M367:M374" si="86">+CONCAT(K367,"-",L367)</f>
        <v>#N/A</v>
      </c>
      <c r="N367" s="1" t="str">
        <f t="shared" si="4"/>
        <v>LOSS</v>
      </c>
      <c r="O367" s="1">
        <f t="shared" si="5"/>
        <v>-1</v>
      </c>
    </row>
    <row r="368" ht="15.75" customHeight="1">
      <c r="A368" s="1">
        <v>6.0</v>
      </c>
      <c r="B368" s="24" t="s">
        <v>1615</v>
      </c>
      <c r="C368" s="22">
        <v>0.8333333333333334</v>
      </c>
      <c r="D368" s="67" t="s">
        <v>19</v>
      </c>
      <c r="E368" s="13" t="s">
        <v>30</v>
      </c>
      <c r="F368" s="1" t="s">
        <v>461</v>
      </c>
      <c r="G368" s="24" t="s">
        <v>59</v>
      </c>
      <c r="H368" s="25">
        <v>12231.0</v>
      </c>
      <c r="I368" s="26">
        <v>0.08402777777777778</v>
      </c>
      <c r="J368" s="1" t="s">
        <v>500</v>
      </c>
      <c r="K368" s="1">
        <f t="shared" si="1"/>
        <v>2</v>
      </c>
      <c r="L368" s="1">
        <f t="shared" si="2"/>
        <v>1</v>
      </c>
      <c r="M368" s="1" t="str">
        <f t="shared" si="86"/>
        <v>#N/A</v>
      </c>
      <c r="N368" s="1" t="str">
        <f t="shared" si="4"/>
        <v>LOSS</v>
      </c>
      <c r="O368" s="1">
        <f t="shared" si="5"/>
        <v>-1</v>
      </c>
    </row>
    <row r="369" ht="15.75" customHeight="1">
      <c r="A369" s="24" t="s">
        <v>331</v>
      </c>
      <c r="B369" s="24" t="s">
        <v>1616</v>
      </c>
      <c r="C369" s="22">
        <v>0.875</v>
      </c>
      <c r="D369" s="67" t="s">
        <v>24</v>
      </c>
      <c r="E369" s="13"/>
      <c r="F369" s="1" t="s">
        <v>132</v>
      </c>
      <c r="G369" s="24" t="s">
        <v>59</v>
      </c>
      <c r="H369" s="25">
        <v>84016.0</v>
      </c>
      <c r="I369" s="26">
        <v>0.0020833333333333333</v>
      </c>
      <c r="J369" s="17" t="s">
        <v>268</v>
      </c>
      <c r="K369" s="1">
        <f t="shared" si="1"/>
        <v>0</v>
      </c>
      <c r="L369" s="1">
        <f t="shared" si="2"/>
        <v>3</v>
      </c>
      <c r="M369" s="1" t="str">
        <f t="shared" si="86"/>
        <v>#N/A</v>
      </c>
      <c r="N369" s="1" t="str">
        <f t="shared" si="4"/>
        <v>LOSS</v>
      </c>
      <c r="O369" s="1">
        <f t="shared" si="5"/>
        <v>-1</v>
      </c>
    </row>
    <row r="370" ht="15.75" customHeight="1">
      <c r="A370" s="24" t="s">
        <v>154</v>
      </c>
      <c r="B370" s="24" t="s">
        <v>1617</v>
      </c>
      <c r="C370" s="22">
        <v>0.875</v>
      </c>
      <c r="D370" s="67" t="s">
        <v>19</v>
      </c>
      <c r="E370" s="13"/>
      <c r="F370" s="1" t="s">
        <v>171</v>
      </c>
      <c r="G370" s="24" t="s">
        <v>483</v>
      </c>
      <c r="H370" s="25">
        <v>80472.0</v>
      </c>
      <c r="I370" s="26">
        <v>0.0020833333333333333</v>
      </c>
      <c r="J370" s="1" t="s">
        <v>500</v>
      </c>
      <c r="K370" s="1">
        <f t="shared" si="1"/>
        <v>0</v>
      </c>
      <c r="L370" s="1">
        <f t="shared" si="2"/>
        <v>3</v>
      </c>
      <c r="M370" s="1" t="str">
        <f t="shared" si="86"/>
        <v>#N/A</v>
      </c>
      <c r="N370" s="1" t="str">
        <f t="shared" si="4"/>
        <v>WIN</v>
      </c>
      <c r="O370" s="1">
        <f t="shared" si="5"/>
        <v>1</v>
      </c>
    </row>
    <row r="371" ht="15.75" customHeight="1">
      <c r="A371" s="24" t="s">
        <v>651</v>
      </c>
      <c r="B371" s="24" t="s">
        <v>1618</v>
      </c>
      <c r="C371" s="22">
        <v>0.8645833333333334</v>
      </c>
      <c r="D371" s="67" t="s">
        <v>19</v>
      </c>
      <c r="E371" s="13"/>
      <c r="F371" s="1" t="s">
        <v>655</v>
      </c>
      <c r="G371" s="24" t="s">
        <v>483</v>
      </c>
      <c r="H371" s="25">
        <v>48575.0</v>
      </c>
      <c r="I371" s="26">
        <v>6.944444444444445E-4</v>
      </c>
      <c r="J371" s="1" t="s">
        <v>591</v>
      </c>
      <c r="K371" s="1">
        <f t="shared" si="1"/>
        <v>0</v>
      </c>
      <c r="L371" s="1">
        <f t="shared" si="2"/>
        <v>1</v>
      </c>
      <c r="M371" s="1" t="str">
        <f t="shared" si="86"/>
        <v>#N/A</v>
      </c>
      <c r="N371" s="1" t="str">
        <f t="shared" si="4"/>
        <v>WIN</v>
      </c>
      <c r="O371" s="1">
        <f t="shared" si="5"/>
        <v>1</v>
      </c>
    </row>
    <row r="372" ht="15.75" customHeight="1">
      <c r="A372" s="1">
        <v>11.0</v>
      </c>
      <c r="B372" s="24" t="s">
        <v>1619</v>
      </c>
      <c r="C372" s="22">
        <v>0.7916666666666666</v>
      </c>
      <c r="D372" s="67" t="s">
        <v>19</v>
      </c>
      <c r="E372" s="13" t="s">
        <v>365</v>
      </c>
      <c r="F372" s="1" t="s">
        <v>373</v>
      </c>
      <c r="G372" s="24" t="s">
        <v>59</v>
      </c>
      <c r="H372" s="25">
        <v>9340.0</v>
      </c>
      <c r="I372" s="26">
        <v>0.041666666666666664</v>
      </c>
      <c r="J372" s="17" t="s">
        <v>354</v>
      </c>
      <c r="K372" s="1">
        <f t="shared" si="1"/>
        <v>1</v>
      </c>
      <c r="L372" s="1">
        <f t="shared" si="2"/>
        <v>0</v>
      </c>
      <c r="M372" s="1" t="str">
        <f t="shared" si="86"/>
        <v>#N/A</v>
      </c>
      <c r="N372" s="1" t="str">
        <f t="shared" si="4"/>
        <v>LOSS</v>
      </c>
      <c r="O372" s="1">
        <f t="shared" si="5"/>
        <v>-1</v>
      </c>
    </row>
    <row r="373" ht="15.75" customHeight="1">
      <c r="A373" s="24" t="s">
        <v>485</v>
      </c>
      <c r="B373" s="24" t="s">
        <v>1620</v>
      </c>
      <c r="C373" s="22">
        <v>0.875</v>
      </c>
      <c r="D373" s="67" t="s">
        <v>24</v>
      </c>
      <c r="E373" s="13"/>
      <c r="F373" s="1" t="s">
        <v>138</v>
      </c>
      <c r="G373" s="24" t="s">
        <v>59</v>
      </c>
      <c r="H373" s="25">
        <v>90071.0</v>
      </c>
      <c r="I373" s="26">
        <v>0.12569444444444444</v>
      </c>
      <c r="J373" s="1" t="s">
        <v>437</v>
      </c>
      <c r="K373" s="1">
        <f t="shared" si="1"/>
        <v>3</v>
      </c>
      <c r="L373" s="1">
        <f t="shared" si="2"/>
        <v>1</v>
      </c>
      <c r="M373" s="1" t="str">
        <f t="shared" si="86"/>
        <v>#N/A</v>
      </c>
      <c r="N373" s="1" t="str">
        <f t="shared" si="4"/>
        <v>WIN</v>
      </c>
      <c r="O373" s="1">
        <f t="shared" si="5"/>
        <v>1</v>
      </c>
    </row>
    <row r="374" ht="15.75" customHeight="1">
      <c r="A374" s="24" t="s">
        <v>561</v>
      </c>
      <c r="B374" s="24" t="s">
        <v>1621</v>
      </c>
      <c r="C374" s="22">
        <v>0.875</v>
      </c>
      <c r="D374" s="67" t="s">
        <v>19</v>
      </c>
      <c r="E374" s="13"/>
      <c r="F374" s="1" t="s">
        <v>563</v>
      </c>
      <c r="G374" s="24" t="s">
        <v>59</v>
      </c>
      <c r="H374" s="25">
        <v>34600.0</v>
      </c>
      <c r="I374" s="26">
        <v>0.043055555555555555</v>
      </c>
      <c r="J374" s="1" t="s">
        <v>500</v>
      </c>
      <c r="K374" s="1">
        <f t="shared" si="1"/>
        <v>1</v>
      </c>
      <c r="L374" s="1">
        <f t="shared" si="2"/>
        <v>2</v>
      </c>
      <c r="M374" s="1" t="str">
        <f t="shared" si="86"/>
        <v>#N/A</v>
      </c>
      <c r="N374" s="1" t="str">
        <f t="shared" si="4"/>
        <v>WIN</v>
      </c>
      <c r="O374" s="1">
        <f t="shared" si="5"/>
        <v>1</v>
      </c>
    </row>
    <row r="375" ht="15.75" customHeight="1">
      <c r="A375" s="24" t="s">
        <v>17</v>
      </c>
      <c r="B375" s="24" t="s">
        <v>1622</v>
      </c>
      <c r="C375" s="22">
        <v>0.875</v>
      </c>
      <c r="D375" s="67" t="s">
        <v>24</v>
      </c>
      <c r="E375" s="13"/>
      <c r="F375" s="1" t="s">
        <v>142</v>
      </c>
      <c r="G375" s="24" t="s">
        <v>21</v>
      </c>
      <c r="H375" s="25">
        <v>42728.0</v>
      </c>
      <c r="I375" s="26">
        <v>0.08472222222222223</v>
      </c>
      <c r="J375" s="17" t="s">
        <v>53</v>
      </c>
      <c r="K375" s="1">
        <f t="shared" si="1"/>
        <v>2</v>
      </c>
      <c r="L375" s="1">
        <f t="shared" si="2"/>
        <v>2</v>
      </c>
      <c r="M375" s="1" t="str">
        <f>+CONCAT(K375,L375)</f>
        <v>22</v>
      </c>
      <c r="N375" s="1" t="str">
        <f t="shared" si="4"/>
        <v>DRAW</v>
      </c>
      <c r="O375" s="1">
        <f t="shared" si="5"/>
        <v>0</v>
      </c>
    </row>
    <row r="376" ht="15.75" customHeight="1">
      <c r="A376" s="24" t="s">
        <v>416</v>
      </c>
      <c r="B376" s="24" t="s">
        <v>1623</v>
      </c>
      <c r="C376" s="22">
        <v>0.875</v>
      </c>
      <c r="D376" s="67" t="s">
        <v>19</v>
      </c>
      <c r="E376" s="13"/>
      <c r="F376" s="1" t="s">
        <v>140</v>
      </c>
      <c r="G376" s="45">
        <v>37379.0</v>
      </c>
      <c r="H376" s="25">
        <v>29454.0</v>
      </c>
      <c r="I376" s="26">
        <v>0.125</v>
      </c>
      <c r="J376" s="17" t="s">
        <v>354</v>
      </c>
      <c r="K376" s="1">
        <f t="shared" si="1"/>
        <v>3</v>
      </c>
      <c r="L376" s="1">
        <f t="shared" si="2"/>
        <v>0</v>
      </c>
      <c r="M376" s="1" t="str">
        <f t="shared" ref="M376:M378" si="87">+CONCAT(K376,"-",L376)</f>
        <v>#N/A</v>
      </c>
      <c r="N376" s="1" t="str">
        <f t="shared" si="4"/>
        <v>LOSS</v>
      </c>
      <c r="O376" s="1">
        <f t="shared" si="5"/>
        <v>-1</v>
      </c>
    </row>
    <row r="377" ht="15.75" customHeight="1">
      <c r="A377" s="24" t="s">
        <v>342</v>
      </c>
      <c r="B377" s="24" t="s">
        <v>1624</v>
      </c>
      <c r="C377" s="22">
        <v>0.8125</v>
      </c>
      <c r="D377" s="67" t="s">
        <v>24</v>
      </c>
      <c r="E377" s="13"/>
      <c r="F377" s="1" t="s">
        <v>667</v>
      </c>
      <c r="G377" s="24" t="s">
        <v>59</v>
      </c>
      <c r="H377" s="25">
        <v>68775.0</v>
      </c>
      <c r="I377" s="26">
        <v>0.20833333333333334</v>
      </c>
      <c r="J377" s="1" t="s">
        <v>591</v>
      </c>
      <c r="K377" s="1">
        <f t="shared" si="1"/>
        <v>5</v>
      </c>
      <c r="L377" s="1">
        <f t="shared" si="2"/>
        <v>0</v>
      </c>
      <c r="M377" s="1" t="str">
        <f t="shared" si="87"/>
        <v>#N/A</v>
      </c>
      <c r="N377" s="1" t="str">
        <f t="shared" si="4"/>
        <v>WIN</v>
      </c>
      <c r="O377" s="1">
        <f t="shared" si="5"/>
        <v>1</v>
      </c>
    </row>
    <row r="378" ht="15.75" customHeight="1">
      <c r="A378" s="24" t="s">
        <v>149</v>
      </c>
      <c r="B378" s="24" t="s">
        <v>1625</v>
      </c>
      <c r="C378" s="22">
        <v>0.8958333333333334</v>
      </c>
      <c r="D378" s="67" t="s">
        <v>24</v>
      </c>
      <c r="E378" s="13"/>
      <c r="F378" s="1" t="s">
        <v>585</v>
      </c>
      <c r="G378" s="24" t="s">
        <v>59</v>
      </c>
      <c r="H378" s="25">
        <v>58050.0</v>
      </c>
      <c r="I378" s="26">
        <v>0.25069444444444444</v>
      </c>
      <c r="J378" s="1" t="s">
        <v>500</v>
      </c>
      <c r="K378" s="1">
        <f t="shared" si="1"/>
        <v>6</v>
      </c>
      <c r="L378" s="1">
        <f t="shared" si="2"/>
        <v>1</v>
      </c>
      <c r="M378" s="1" t="str">
        <f t="shared" si="87"/>
        <v>#N/A</v>
      </c>
      <c r="N378" s="1" t="str">
        <f t="shared" si="4"/>
        <v>WIN</v>
      </c>
      <c r="O378" s="1">
        <f t="shared" si="5"/>
        <v>1</v>
      </c>
    </row>
    <row r="379" ht="15.75" customHeight="1">
      <c r="A379" s="24" t="s">
        <v>151</v>
      </c>
      <c r="B379" s="24" t="s">
        <v>1626</v>
      </c>
      <c r="C379" s="22">
        <v>0.875</v>
      </c>
      <c r="D379" s="67" t="s">
        <v>24</v>
      </c>
      <c r="E379" s="13"/>
      <c r="F379" s="1" t="s">
        <v>153</v>
      </c>
      <c r="G379" s="24" t="s">
        <v>21</v>
      </c>
      <c r="H379" s="25">
        <v>50314.0</v>
      </c>
      <c r="I379" s="26">
        <v>0.12708333333333333</v>
      </c>
      <c r="J379" s="17" t="s">
        <v>53</v>
      </c>
      <c r="K379" s="1">
        <f t="shared" si="1"/>
        <v>3</v>
      </c>
      <c r="L379" s="1">
        <f t="shared" si="2"/>
        <v>3</v>
      </c>
      <c r="M379" s="1" t="str">
        <f t="shared" ref="M379:M380" si="88">+CONCAT(K379,L379)</f>
        <v>33</v>
      </c>
      <c r="N379" s="1" t="str">
        <f t="shared" si="4"/>
        <v>DRAW</v>
      </c>
      <c r="O379" s="1">
        <f t="shared" si="5"/>
        <v>0</v>
      </c>
    </row>
    <row r="380" ht="15.75" customHeight="1">
      <c r="A380" s="1">
        <v>20.0</v>
      </c>
      <c r="B380" s="24" t="s">
        <v>1627</v>
      </c>
      <c r="C380" s="22">
        <v>0.7916666666666666</v>
      </c>
      <c r="D380" s="67" t="s">
        <v>24</v>
      </c>
      <c r="E380" s="13" t="s">
        <v>87</v>
      </c>
      <c r="F380" s="1" t="s">
        <v>213</v>
      </c>
      <c r="G380" s="24" t="s">
        <v>59</v>
      </c>
      <c r="H380" s="25">
        <v>37888.0</v>
      </c>
      <c r="I380" s="26">
        <v>0.041666666666666664</v>
      </c>
      <c r="J380" s="17" t="s">
        <v>175</v>
      </c>
      <c r="K380" s="1">
        <f t="shared" si="1"/>
        <v>1</v>
      </c>
      <c r="L380" s="1">
        <f t="shared" si="2"/>
        <v>0</v>
      </c>
      <c r="M380" s="1" t="str">
        <f t="shared" si="88"/>
        <v>10</v>
      </c>
      <c r="N380" s="1" t="str">
        <f t="shared" si="4"/>
        <v>WIN</v>
      </c>
      <c r="O380" s="1">
        <f t="shared" si="5"/>
        <v>1</v>
      </c>
    </row>
    <row r="381" ht="15.75" customHeight="1">
      <c r="A381" s="24" t="s">
        <v>339</v>
      </c>
      <c r="B381" s="24" t="s">
        <v>1628</v>
      </c>
      <c r="C381" s="22">
        <v>0.8958333333333334</v>
      </c>
      <c r="D381" s="67" t="s">
        <v>19</v>
      </c>
      <c r="E381" s="13"/>
      <c r="F381" s="1" t="s">
        <v>579</v>
      </c>
      <c r="G381" s="24" t="s">
        <v>59</v>
      </c>
      <c r="H381" s="25">
        <v>10873.0</v>
      </c>
      <c r="I381" s="26">
        <v>6.944444444444445E-4</v>
      </c>
      <c r="J381" s="1" t="s">
        <v>500</v>
      </c>
      <c r="K381" s="1">
        <f t="shared" si="1"/>
        <v>0</v>
      </c>
      <c r="L381" s="1">
        <f t="shared" si="2"/>
        <v>1</v>
      </c>
      <c r="M381" s="1" t="str">
        <f>+CONCAT(K381,"-",L381)</f>
        <v>#N/A</v>
      </c>
      <c r="N381" s="1" t="str">
        <f t="shared" si="4"/>
        <v>WIN</v>
      </c>
      <c r="O381" s="1">
        <f t="shared" si="5"/>
        <v>1</v>
      </c>
    </row>
    <row r="382" ht="15.75" customHeight="1">
      <c r="C382" s="62"/>
    </row>
    <row r="383" ht="15.75" customHeight="1">
      <c r="C383" s="62"/>
    </row>
    <row r="384" ht="15.75" customHeight="1">
      <c r="C384" s="62"/>
    </row>
    <row r="385" ht="15.75" customHeight="1">
      <c r="C385" s="62"/>
    </row>
    <row r="386" ht="15.75" customHeight="1">
      <c r="C386" s="62"/>
    </row>
    <row r="387" ht="15.75" customHeight="1">
      <c r="C387" s="62"/>
    </row>
    <row r="388" ht="15.75" customHeight="1">
      <c r="C388" s="62"/>
    </row>
    <row r="389" ht="15.75" customHeight="1">
      <c r="C389" s="62"/>
    </row>
    <row r="390" ht="15.75" customHeight="1">
      <c r="C390" s="62"/>
    </row>
    <row r="391" ht="15.75" customHeight="1">
      <c r="C391" s="62"/>
    </row>
    <row r="392" ht="15.75" customHeight="1">
      <c r="C392" s="62"/>
    </row>
    <row r="393" ht="15.75" customHeight="1">
      <c r="C393" s="62"/>
    </row>
    <row r="394" ht="15.75" customHeight="1">
      <c r="C394" s="62"/>
    </row>
    <row r="395" ht="15.75" customHeight="1">
      <c r="C395" s="62"/>
    </row>
    <row r="396" ht="15.75" customHeight="1">
      <c r="C396" s="62"/>
    </row>
    <row r="397" ht="15.75" customHeight="1">
      <c r="C397" s="62"/>
    </row>
    <row r="398" ht="15.75" customHeight="1">
      <c r="C398" s="62"/>
    </row>
    <row r="399" ht="15.75" customHeight="1">
      <c r="C399" s="62"/>
    </row>
    <row r="400" ht="15.75" customHeight="1">
      <c r="C400" s="62"/>
    </row>
    <row r="401" ht="15.75" customHeight="1">
      <c r="C401" s="62"/>
    </row>
    <row r="402" ht="15.75" customHeight="1">
      <c r="C402" s="62"/>
    </row>
    <row r="403" ht="15.75" customHeight="1">
      <c r="C403" s="62"/>
    </row>
    <row r="404" ht="15.75" customHeight="1">
      <c r="C404" s="62"/>
    </row>
    <row r="405" ht="15.75" customHeight="1">
      <c r="C405" s="62"/>
    </row>
    <row r="406" ht="15.75" customHeight="1">
      <c r="C406" s="62"/>
    </row>
    <row r="407" ht="15.75" customHeight="1">
      <c r="C407" s="62"/>
    </row>
    <row r="408" ht="15.75" customHeight="1">
      <c r="C408" s="62"/>
    </row>
    <row r="409" ht="15.75" customHeight="1">
      <c r="C409" s="62"/>
    </row>
    <row r="410" ht="15.75" customHeight="1">
      <c r="C410" s="62"/>
    </row>
    <row r="411" ht="15.75" customHeight="1">
      <c r="C411" s="62"/>
    </row>
    <row r="412" ht="15.75" customHeight="1">
      <c r="C412" s="62"/>
    </row>
    <row r="413" ht="15.75" customHeight="1">
      <c r="C413" s="62"/>
    </row>
    <row r="414" ht="15.75" customHeight="1">
      <c r="C414" s="62"/>
    </row>
    <row r="415" ht="15.75" customHeight="1">
      <c r="C415" s="62"/>
    </row>
    <row r="416" ht="15.75" customHeight="1">
      <c r="C416" s="62"/>
    </row>
    <row r="417" ht="15.75" customHeight="1">
      <c r="C417" s="62"/>
    </row>
    <row r="418" ht="15.75" customHeight="1">
      <c r="C418" s="62"/>
    </row>
    <row r="419" ht="15.75" customHeight="1">
      <c r="C419" s="62"/>
    </row>
    <row r="420" ht="15.75" customHeight="1">
      <c r="C420" s="62"/>
    </row>
    <row r="421" ht="15.75" customHeight="1">
      <c r="C421" s="62"/>
    </row>
    <row r="422" ht="15.75" customHeight="1">
      <c r="C422" s="62"/>
    </row>
    <row r="423" ht="15.75" customHeight="1">
      <c r="C423" s="62"/>
    </row>
    <row r="424" ht="15.75" customHeight="1">
      <c r="C424" s="62"/>
    </row>
    <row r="425" ht="15.75" customHeight="1">
      <c r="C425" s="62"/>
    </row>
    <row r="426" ht="15.75" customHeight="1">
      <c r="C426" s="62"/>
    </row>
    <row r="427" ht="15.75" customHeight="1">
      <c r="C427" s="62"/>
    </row>
    <row r="428" ht="15.75" customHeight="1">
      <c r="C428" s="62"/>
    </row>
    <row r="429" ht="15.75" customHeight="1">
      <c r="C429" s="62"/>
    </row>
    <row r="430" ht="15.75" customHeight="1">
      <c r="C430" s="62"/>
    </row>
    <row r="431" ht="15.75" customHeight="1">
      <c r="C431" s="62"/>
    </row>
    <row r="432" ht="15.75" customHeight="1">
      <c r="C432" s="62"/>
    </row>
    <row r="433" ht="15.75" customHeight="1">
      <c r="C433" s="62"/>
    </row>
    <row r="434" ht="15.75" customHeight="1">
      <c r="C434" s="62"/>
    </row>
    <row r="435" ht="15.75" customHeight="1">
      <c r="C435" s="62"/>
    </row>
    <row r="436" ht="15.75" customHeight="1">
      <c r="C436" s="62"/>
    </row>
    <row r="437" ht="15.75" customHeight="1">
      <c r="C437" s="62"/>
    </row>
    <row r="438" ht="15.75" customHeight="1">
      <c r="C438" s="62"/>
    </row>
    <row r="439" ht="15.75" customHeight="1">
      <c r="C439" s="62"/>
    </row>
    <row r="440" ht="15.75" customHeight="1">
      <c r="C440" s="62"/>
    </row>
    <row r="441" ht="15.75" customHeight="1">
      <c r="C441" s="62"/>
    </row>
    <row r="442" ht="15.75" customHeight="1">
      <c r="C442" s="62"/>
    </row>
    <row r="443" ht="15.75" customHeight="1">
      <c r="C443" s="62"/>
    </row>
    <row r="444" ht="15.75" customHeight="1">
      <c r="C444" s="62"/>
    </row>
    <row r="445" ht="15.75" customHeight="1">
      <c r="C445" s="62"/>
    </row>
    <row r="446" ht="15.75" customHeight="1">
      <c r="C446" s="62"/>
    </row>
    <row r="447" ht="15.75" customHeight="1">
      <c r="C447" s="62"/>
    </row>
    <row r="448" ht="15.75" customHeight="1">
      <c r="C448" s="62"/>
    </row>
    <row r="449" ht="15.75" customHeight="1">
      <c r="C449" s="62"/>
    </row>
    <row r="450" ht="15.75" customHeight="1">
      <c r="C450" s="62"/>
    </row>
    <row r="451" ht="15.75" customHeight="1">
      <c r="C451" s="62"/>
    </row>
    <row r="452" ht="15.75" customHeight="1">
      <c r="C452" s="62"/>
    </row>
    <row r="453" ht="15.75" customHeight="1">
      <c r="C453" s="62"/>
    </row>
    <row r="454" ht="15.75" customHeight="1">
      <c r="C454" s="62"/>
    </row>
    <row r="455" ht="15.75" customHeight="1">
      <c r="C455" s="62"/>
    </row>
    <row r="456" ht="15.75" customHeight="1">
      <c r="C456" s="62"/>
    </row>
    <row r="457" ht="15.75" customHeight="1">
      <c r="C457" s="62"/>
    </row>
    <row r="458" ht="15.75" customHeight="1">
      <c r="C458" s="62"/>
    </row>
    <row r="459" ht="15.75" customHeight="1">
      <c r="C459" s="62"/>
    </row>
    <row r="460" ht="15.75" customHeight="1">
      <c r="C460" s="62"/>
    </row>
    <row r="461" ht="15.75" customHeight="1">
      <c r="C461" s="62"/>
    </row>
    <row r="462" ht="15.75" customHeight="1">
      <c r="C462" s="62"/>
    </row>
    <row r="463" ht="15.75" customHeight="1">
      <c r="C463" s="62"/>
    </row>
    <row r="464" ht="15.75" customHeight="1">
      <c r="C464" s="62"/>
    </row>
    <row r="465" ht="15.75" customHeight="1">
      <c r="C465" s="62"/>
    </row>
    <row r="466" ht="15.75" customHeight="1">
      <c r="C466" s="62"/>
    </row>
    <row r="467" ht="15.75" customHeight="1">
      <c r="C467" s="62"/>
    </row>
    <row r="468" ht="15.75" customHeight="1">
      <c r="C468" s="62"/>
    </row>
    <row r="469" ht="15.75" customHeight="1">
      <c r="C469" s="62"/>
    </row>
    <row r="470" ht="15.75" customHeight="1">
      <c r="C470" s="62"/>
    </row>
    <row r="471" ht="15.75" customHeight="1">
      <c r="C471" s="62"/>
    </row>
    <row r="472" ht="15.75" customHeight="1">
      <c r="C472" s="62"/>
    </row>
    <row r="473" ht="15.75" customHeight="1">
      <c r="C473" s="62"/>
    </row>
    <row r="474" ht="15.75" customHeight="1">
      <c r="C474" s="62"/>
    </row>
    <row r="475" ht="15.75" customHeight="1">
      <c r="C475" s="62"/>
    </row>
    <row r="476" ht="15.75" customHeight="1">
      <c r="C476" s="62"/>
    </row>
    <row r="477" ht="15.75" customHeight="1">
      <c r="C477" s="62"/>
    </row>
    <row r="478" ht="15.75" customHeight="1">
      <c r="C478" s="62"/>
    </row>
    <row r="479" ht="15.75" customHeight="1">
      <c r="C479" s="62"/>
    </row>
    <row r="480" ht="15.75" customHeight="1">
      <c r="C480" s="62"/>
    </row>
    <row r="481" ht="15.75" customHeight="1">
      <c r="C481" s="62"/>
    </row>
    <row r="482" ht="15.75" customHeight="1">
      <c r="C482" s="62"/>
    </row>
    <row r="483" ht="15.75" customHeight="1">
      <c r="C483" s="62"/>
    </row>
    <row r="484" ht="15.75" customHeight="1">
      <c r="C484" s="62"/>
    </row>
    <row r="485" ht="15.75" customHeight="1">
      <c r="C485" s="62"/>
    </row>
    <row r="486" ht="15.75" customHeight="1">
      <c r="C486" s="62"/>
    </row>
    <row r="487" ht="15.75" customHeight="1">
      <c r="C487" s="62"/>
    </row>
    <row r="488" ht="15.75" customHeight="1">
      <c r="C488" s="62"/>
    </row>
    <row r="489" ht="15.75" customHeight="1">
      <c r="C489" s="62"/>
    </row>
    <row r="490" ht="15.75" customHeight="1">
      <c r="C490" s="62"/>
    </row>
    <row r="491" ht="15.75" customHeight="1">
      <c r="C491" s="62"/>
    </row>
    <row r="492" ht="15.75" customHeight="1">
      <c r="C492" s="62"/>
    </row>
    <row r="493" ht="15.75" customHeight="1">
      <c r="C493" s="62"/>
    </row>
    <row r="494" ht="15.75" customHeight="1">
      <c r="C494" s="62"/>
    </row>
    <row r="495" ht="15.75" customHeight="1">
      <c r="C495" s="62"/>
    </row>
    <row r="496" ht="15.75" customHeight="1">
      <c r="C496" s="62"/>
    </row>
    <row r="497" ht="15.75" customHeight="1">
      <c r="C497" s="62"/>
    </row>
    <row r="498" ht="15.75" customHeight="1">
      <c r="C498" s="62"/>
    </row>
    <row r="499" ht="15.75" customHeight="1">
      <c r="C499" s="62"/>
    </row>
    <row r="500" ht="15.75" customHeight="1">
      <c r="C500" s="62"/>
    </row>
    <row r="501" ht="15.75" customHeight="1">
      <c r="C501" s="62"/>
    </row>
    <row r="502" ht="15.75" customHeight="1">
      <c r="C502" s="62"/>
    </row>
    <row r="503" ht="15.75" customHeight="1">
      <c r="C503" s="62"/>
    </row>
    <row r="504" ht="15.75" customHeight="1">
      <c r="C504" s="62"/>
    </row>
    <row r="505" ht="15.75" customHeight="1">
      <c r="C505" s="62"/>
    </row>
    <row r="506" ht="15.75" customHeight="1">
      <c r="C506" s="62"/>
    </row>
    <row r="507" ht="15.75" customHeight="1">
      <c r="C507" s="62"/>
    </row>
    <row r="508" ht="15.75" customHeight="1">
      <c r="C508" s="62"/>
    </row>
    <row r="509" ht="15.75" customHeight="1">
      <c r="C509" s="62"/>
    </row>
    <row r="510" ht="15.75" customHeight="1">
      <c r="C510" s="62"/>
    </row>
    <row r="511" ht="15.75" customHeight="1">
      <c r="C511" s="62"/>
    </row>
    <row r="512" ht="15.75" customHeight="1">
      <c r="C512" s="62"/>
    </row>
    <row r="513" ht="15.75" customHeight="1">
      <c r="C513" s="62"/>
    </row>
    <row r="514" ht="15.75" customHeight="1">
      <c r="C514" s="62"/>
    </row>
    <row r="515" ht="15.75" customHeight="1">
      <c r="C515" s="62"/>
    </row>
    <row r="516" ht="15.75" customHeight="1">
      <c r="C516" s="62"/>
    </row>
    <row r="517" ht="15.75" customHeight="1">
      <c r="C517" s="62"/>
    </row>
    <row r="518" ht="15.75" customHeight="1">
      <c r="C518" s="62"/>
    </row>
    <row r="519" ht="15.75" customHeight="1">
      <c r="C519" s="62"/>
    </row>
    <row r="520" ht="15.75" customHeight="1">
      <c r="C520" s="62"/>
    </row>
    <row r="521" ht="15.75" customHeight="1">
      <c r="C521" s="62"/>
    </row>
    <row r="522" ht="15.75" customHeight="1">
      <c r="C522" s="62"/>
    </row>
    <row r="523" ht="15.75" customHeight="1">
      <c r="C523" s="62"/>
    </row>
    <row r="524" ht="15.75" customHeight="1">
      <c r="C524" s="62"/>
    </row>
    <row r="525" ht="15.75" customHeight="1">
      <c r="C525" s="62"/>
    </row>
    <row r="526" ht="15.75" customHeight="1">
      <c r="C526" s="62"/>
    </row>
    <row r="527" ht="15.75" customHeight="1">
      <c r="C527" s="62"/>
    </row>
    <row r="528" ht="15.75" customHeight="1">
      <c r="C528" s="62"/>
    </row>
    <row r="529" ht="15.75" customHeight="1">
      <c r="C529" s="62"/>
    </row>
    <row r="530" ht="15.75" customHeight="1">
      <c r="C530" s="62"/>
    </row>
    <row r="531" ht="15.75" customHeight="1">
      <c r="C531" s="62"/>
    </row>
    <row r="532" ht="15.75" customHeight="1">
      <c r="C532" s="62"/>
    </row>
    <row r="533" ht="15.75" customHeight="1">
      <c r="C533" s="62"/>
    </row>
    <row r="534" ht="15.75" customHeight="1">
      <c r="C534" s="62"/>
    </row>
    <row r="535" ht="15.75" customHeight="1">
      <c r="C535" s="62"/>
    </row>
    <row r="536" ht="15.75" customHeight="1">
      <c r="C536" s="62"/>
    </row>
    <row r="537" ht="15.75" customHeight="1">
      <c r="C537" s="62"/>
    </row>
    <row r="538" ht="15.75" customHeight="1">
      <c r="C538" s="62"/>
    </row>
    <row r="539" ht="15.75" customHeight="1">
      <c r="C539" s="62"/>
    </row>
    <row r="540" ht="15.75" customHeight="1">
      <c r="C540" s="62"/>
    </row>
    <row r="541" ht="15.75" customHeight="1">
      <c r="C541" s="62"/>
    </row>
    <row r="542" ht="15.75" customHeight="1">
      <c r="C542" s="62"/>
    </row>
    <row r="543" ht="15.75" customHeight="1">
      <c r="C543" s="62"/>
    </row>
    <row r="544" ht="15.75" customHeight="1">
      <c r="C544" s="62"/>
    </row>
    <row r="545" ht="15.75" customHeight="1">
      <c r="C545" s="62"/>
    </row>
    <row r="546" ht="15.75" customHeight="1">
      <c r="C546" s="62"/>
    </row>
    <row r="547" ht="15.75" customHeight="1">
      <c r="C547" s="62"/>
    </row>
    <row r="548" ht="15.75" customHeight="1">
      <c r="C548" s="62"/>
    </row>
    <row r="549" ht="15.75" customHeight="1">
      <c r="C549" s="62"/>
    </row>
    <row r="550" ht="15.75" customHeight="1">
      <c r="C550" s="62"/>
    </row>
    <row r="551" ht="15.75" customHeight="1">
      <c r="C551" s="62"/>
    </row>
    <row r="552" ht="15.75" customHeight="1">
      <c r="C552" s="62"/>
    </row>
    <row r="553" ht="15.75" customHeight="1">
      <c r="C553" s="62"/>
    </row>
    <row r="554" ht="15.75" customHeight="1">
      <c r="C554" s="62"/>
    </row>
    <row r="555" ht="15.75" customHeight="1">
      <c r="C555" s="62"/>
    </row>
    <row r="556" ht="15.75" customHeight="1">
      <c r="C556" s="62"/>
    </row>
    <row r="557" ht="15.75" customHeight="1">
      <c r="C557" s="62"/>
    </row>
    <row r="558" ht="15.75" customHeight="1">
      <c r="C558" s="62"/>
    </row>
    <row r="559" ht="15.75" customHeight="1">
      <c r="C559" s="62"/>
    </row>
    <row r="560" ht="15.75" customHeight="1">
      <c r="C560" s="62"/>
    </row>
    <row r="561" ht="15.75" customHeight="1">
      <c r="C561" s="62"/>
    </row>
    <row r="562" ht="15.75" customHeight="1">
      <c r="C562" s="62"/>
    </row>
    <row r="563" ht="15.75" customHeight="1">
      <c r="C563" s="62"/>
    </row>
    <row r="564" ht="15.75" customHeight="1">
      <c r="C564" s="62"/>
    </row>
    <row r="565" ht="15.75" customHeight="1">
      <c r="C565" s="62"/>
    </row>
    <row r="566" ht="15.75" customHeight="1">
      <c r="C566" s="62"/>
    </row>
    <row r="567" ht="15.75" customHeight="1">
      <c r="C567" s="62"/>
    </row>
    <row r="568" ht="15.75" customHeight="1">
      <c r="C568" s="62"/>
    </row>
    <row r="569" ht="15.75" customHeight="1">
      <c r="C569" s="62"/>
    </row>
    <row r="570" ht="15.75" customHeight="1">
      <c r="C570" s="62"/>
    </row>
    <row r="571" ht="15.75" customHeight="1">
      <c r="C571" s="62"/>
    </row>
    <row r="572" ht="15.75" customHeight="1">
      <c r="C572" s="62"/>
    </row>
    <row r="573" ht="15.75" customHeight="1">
      <c r="C573" s="62"/>
    </row>
    <row r="574" ht="15.75" customHeight="1">
      <c r="C574" s="62"/>
    </row>
    <row r="575" ht="15.75" customHeight="1">
      <c r="C575" s="62"/>
    </row>
    <row r="576" ht="15.75" customHeight="1">
      <c r="C576" s="62"/>
    </row>
    <row r="577" ht="15.75" customHeight="1">
      <c r="C577" s="62"/>
    </row>
    <row r="578" ht="15.75" customHeight="1">
      <c r="C578" s="62"/>
    </row>
    <row r="579" ht="15.75" customHeight="1">
      <c r="C579" s="62"/>
    </row>
    <row r="580" ht="15.75" customHeight="1">
      <c r="C580" s="62"/>
    </row>
    <row r="581" ht="15.75" customHeight="1">
      <c r="C581" s="62"/>
    </row>
    <row r="582" ht="15.75" customHeight="1">
      <c r="C582" s="62"/>
    </row>
    <row r="583" ht="15.75" customHeight="1">
      <c r="C583" s="62"/>
    </row>
    <row r="584" ht="15.75" customHeight="1">
      <c r="C584" s="62"/>
    </row>
    <row r="585" ht="15.75" customHeight="1">
      <c r="C585" s="62"/>
    </row>
    <row r="586" ht="15.75" customHeight="1">
      <c r="C586" s="62"/>
    </row>
    <row r="587" ht="15.75" customHeight="1">
      <c r="C587" s="62"/>
    </row>
    <row r="588" ht="15.75" customHeight="1">
      <c r="C588" s="62"/>
    </row>
    <row r="589" ht="15.75" customHeight="1">
      <c r="C589" s="62"/>
    </row>
    <row r="590" ht="15.75" customHeight="1">
      <c r="C590" s="62"/>
    </row>
    <row r="591" ht="15.75" customHeight="1">
      <c r="C591" s="62"/>
    </row>
    <row r="592" ht="15.75" customHeight="1">
      <c r="C592" s="62"/>
    </row>
    <row r="593" ht="15.75" customHeight="1">
      <c r="C593" s="62"/>
    </row>
    <row r="594" ht="15.75" customHeight="1">
      <c r="C594" s="62"/>
    </row>
    <row r="595" ht="15.75" customHeight="1">
      <c r="C595" s="62"/>
    </row>
    <row r="596" ht="15.75" customHeight="1">
      <c r="C596" s="62"/>
    </row>
    <row r="597" ht="15.75" customHeight="1">
      <c r="C597" s="62"/>
    </row>
    <row r="598" ht="15.75" customHeight="1">
      <c r="C598" s="62"/>
    </row>
    <row r="599" ht="15.75" customHeight="1">
      <c r="C599" s="62"/>
    </row>
    <row r="600" ht="15.75" customHeight="1">
      <c r="C600" s="62"/>
    </row>
    <row r="601" ht="15.75" customHeight="1">
      <c r="C601" s="62"/>
    </row>
    <row r="602" ht="15.75" customHeight="1">
      <c r="C602" s="62"/>
    </row>
    <row r="603" ht="15.75" customHeight="1">
      <c r="C603" s="62"/>
    </row>
    <row r="604" ht="15.75" customHeight="1">
      <c r="C604" s="62"/>
    </row>
    <row r="605" ht="15.75" customHeight="1">
      <c r="C605" s="62"/>
    </row>
    <row r="606" ht="15.75" customHeight="1">
      <c r="C606" s="62"/>
    </row>
    <row r="607" ht="15.75" customHeight="1">
      <c r="C607" s="62"/>
    </row>
    <row r="608" ht="15.75" customHeight="1">
      <c r="C608" s="62"/>
    </row>
    <row r="609" ht="15.75" customHeight="1">
      <c r="C609" s="62"/>
    </row>
    <row r="610" ht="15.75" customHeight="1">
      <c r="C610" s="62"/>
    </row>
    <row r="611" ht="15.75" customHeight="1">
      <c r="C611" s="62"/>
    </row>
    <row r="612" ht="15.75" customHeight="1">
      <c r="C612" s="62"/>
    </row>
    <row r="613" ht="15.75" customHeight="1">
      <c r="C613" s="62"/>
    </row>
    <row r="614" ht="15.75" customHeight="1">
      <c r="C614" s="62"/>
    </row>
    <row r="615" ht="15.75" customHeight="1">
      <c r="C615" s="62"/>
    </row>
    <row r="616" ht="15.75" customHeight="1">
      <c r="C616" s="62"/>
    </row>
    <row r="617" ht="15.75" customHeight="1">
      <c r="C617" s="62"/>
    </row>
    <row r="618" ht="15.75" customHeight="1">
      <c r="C618" s="62"/>
    </row>
    <row r="619" ht="15.75" customHeight="1">
      <c r="C619" s="62"/>
    </row>
    <row r="620" ht="15.75" customHeight="1">
      <c r="C620" s="62"/>
    </row>
    <row r="621" ht="15.75" customHeight="1">
      <c r="C621" s="62"/>
    </row>
    <row r="622" ht="15.75" customHeight="1">
      <c r="C622" s="62"/>
    </row>
    <row r="623" ht="15.75" customHeight="1">
      <c r="C623" s="62"/>
    </row>
    <row r="624" ht="15.75" customHeight="1">
      <c r="C624" s="62"/>
    </row>
    <row r="625" ht="15.75" customHeight="1">
      <c r="C625" s="62"/>
    </row>
    <row r="626" ht="15.75" customHeight="1">
      <c r="C626" s="62"/>
    </row>
    <row r="627" ht="15.75" customHeight="1">
      <c r="C627" s="62"/>
    </row>
    <row r="628" ht="15.75" customHeight="1">
      <c r="C628" s="62"/>
    </row>
    <row r="629" ht="15.75" customHeight="1">
      <c r="C629" s="62"/>
    </row>
    <row r="630" ht="15.75" customHeight="1">
      <c r="C630" s="62"/>
    </row>
    <row r="631" ht="15.75" customHeight="1">
      <c r="C631" s="62"/>
    </row>
    <row r="632" ht="15.75" customHeight="1">
      <c r="C632" s="62"/>
    </row>
    <row r="633" ht="15.75" customHeight="1">
      <c r="C633" s="62"/>
    </row>
    <row r="634" ht="15.75" customHeight="1">
      <c r="C634" s="62"/>
    </row>
    <row r="635" ht="15.75" customHeight="1">
      <c r="C635" s="62"/>
    </row>
    <row r="636" ht="15.75" customHeight="1">
      <c r="C636" s="62"/>
    </row>
    <row r="637" ht="15.75" customHeight="1">
      <c r="C637" s="62"/>
    </row>
    <row r="638" ht="15.75" customHeight="1">
      <c r="C638" s="62"/>
    </row>
    <row r="639" ht="15.75" customHeight="1">
      <c r="C639" s="62"/>
    </row>
    <row r="640" ht="15.75" customHeight="1">
      <c r="C640" s="62"/>
    </row>
    <row r="641" ht="15.75" customHeight="1">
      <c r="C641" s="62"/>
    </row>
    <row r="642" ht="15.75" customHeight="1">
      <c r="C642" s="62"/>
    </row>
    <row r="643" ht="15.75" customHeight="1">
      <c r="C643" s="62"/>
    </row>
    <row r="644" ht="15.75" customHeight="1">
      <c r="C644" s="62"/>
    </row>
    <row r="645" ht="15.75" customHeight="1">
      <c r="C645" s="62"/>
    </row>
    <row r="646" ht="15.75" customHeight="1">
      <c r="C646" s="62"/>
    </row>
    <row r="647" ht="15.75" customHeight="1">
      <c r="C647" s="62"/>
    </row>
    <row r="648" ht="15.75" customHeight="1">
      <c r="C648" s="62"/>
    </row>
    <row r="649" ht="15.75" customHeight="1">
      <c r="C649" s="62"/>
    </row>
    <row r="650" ht="15.75" customHeight="1">
      <c r="C650" s="62"/>
    </row>
    <row r="651" ht="15.75" customHeight="1">
      <c r="C651" s="62"/>
    </row>
    <row r="652" ht="15.75" customHeight="1">
      <c r="C652" s="62"/>
    </row>
    <row r="653" ht="15.75" customHeight="1">
      <c r="C653" s="62"/>
    </row>
    <row r="654" ht="15.75" customHeight="1">
      <c r="C654" s="62"/>
    </row>
    <row r="655" ht="15.75" customHeight="1">
      <c r="C655" s="62"/>
    </row>
    <row r="656" ht="15.75" customHeight="1">
      <c r="C656" s="62"/>
    </row>
    <row r="657" ht="15.75" customHeight="1">
      <c r="C657" s="62"/>
    </row>
    <row r="658" ht="15.75" customHeight="1">
      <c r="C658" s="62"/>
    </row>
    <row r="659" ht="15.75" customHeight="1">
      <c r="C659" s="62"/>
    </row>
    <row r="660" ht="15.75" customHeight="1">
      <c r="C660" s="62"/>
    </row>
    <row r="661" ht="15.75" customHeight="1">
      <c r="C661" s="62"/>
    </row>
    <row r="662" ht="15.75" customHeight="1">
      <c r="C662" s="62"/>
    </row>
    <row r="663" ht="15.75" customHeight="1">
      <c r="C663" s="62"/>
    </row>
    <row r="664" ht="15.75" customHeight="1">
      <c r="C664" s="62"/>
    </row>
    <row r="665" ht="15.75" customHeight="1">
      <c r="C665" s="62"/>
    </row>
    <row r="666" ht="15.75" customHeight="1">
      <c r="C666" s="62"/>
    </row>
    <row r="667" ht="15.75" customHeight="1">
      <c r="C667" s="62"/>
    </row>
    <row r="668" ht="15.75" customHeight="1">
      <c r="C668" s="62"/>
    </row>
    <row r="669" ht="15.75" customHeight="1">
      <c r="C669" s="62"/>
    </row>
    <row r="670" ht="15.75" customHeight="1">
      <c r="C670" s="62"/>
    </row>
    <row r="671" ht="15.75" customHeight="1">
      <c r="C671" s="62"/>
    </row>
    <row r="672" ht="15.75" customHeight="1">
      <c r="C672" s="62"/>
    </row>
    <row r="673" ht="15.75" customHeight="1">
      <c r="C673" s="62"/>
    </row>
    <row r="674" ht="15.75" customHeight="1">
      <c r="C674" s="62"/>
    </row>
    <row r="675" ht="15.75" customHeight="1">
      <c r="C675" s="62"/>
    </row>
    <row r="676" ht="15.75" customHeight="1">
      <c r="C676" s="62"/>
    </row>
    <row r="677" ht="15.75" customHeight="1">
      <c r="C677" s="62"/>
    </row>
    <row r="678" ht="15.75" customHeight="1">
      <c r="C678" s="62"/>
    </row>
    <row r="679" ht="15.75" customHeight="1">
      <c r="C679" s="62"/>
    </row>
    <row r="680" ht="15.75" customHeight="1">
      <c r="C680" s="62"/>
    </row>
    <row r="681" ht="15.75" customHeight="1">
      <c r="C681" s="62"/>
    </row>
    <row r="682" ht="15.75" customHeight="1">
      <c r="C682" s="62"/>
    </row>
    <row r="683" ht="15.75" customHeight="1">
      <c r="C683" s="62"/>
    </row>
    <row r="684" ht="15.75" customHeight="1">
      <c r="C684" s="62"/>
    </row>
    <row r="685" ht="15.75" customHeight="1">
      <c r="C685" s="62"/>
    </row>
    <row r="686" ht="15.75" customHeight="1">
      <c r="C686" s="62"/>
    </row>
    <row r="687" ht="15.75" customHeight="1">
      <c r="C687" s="62"/>
    </row>
    <row r="688" ht="15.75" customHeight="1">
      <c r="C688" s="62"/>
    </row>
    <row r="689" ht="15.75" customHeight="1">
      <c r="C689" s="62"/>
    </row>
    <row r="690" ht="15.75" customHeight="1">
      <c r="C690" s="62"/>
    </row>
    <row r="691" ht="15.75" customHeight="1">
      <c r="C691" s="62"/>
    </row>
    <row r="692" ht="15.75" customHeight="1">
      <c r="C692" s="62"/>
    </row>
    <row r="693" ht="15.75" customHeight="1">
      <c r="C693" s="62"/>
    </row>
    <row r="694" ht="15.75" customHeight="1">
      <c r="C694" s="62"/>
    </row>
    <row r="695" ht="15.75" customHeight="1">
      <c r="C695" s="62"/>
    </row>
    <row r="696" ht="15.75" customHeight="1">
      <c r="C696" s="62"/>
    </row>
    <row r="697" ht="15.75" customHeight="1">
      <c r="C697" s="62"/>
    </row>
    <row r="698" ht="15.75" customHeight="1">
      <c r="C698" s="62"/>
    </row>
    <row r="699" ht="15.75" customHeight="1">
      <c r="C699" s="62"/>
    </row>
    <row r="700" ht="15.75" customHeight="1">
      <c r="C700" s="62"/>
    </row>
    <row r="701" ht="15.75" customHeight="1">
      <c r="C701" s="62"/>
    </row>
    <row r="702" ht="15.75" customHeight="1">
      <c r="C702" s="62"/>
    </row>
    <row r="703" ht="15.75" customHeight="1">
      <c r="C703" s="62"/>
    </row>
    <row r="704" ht="15.75" customHeight="1">
      <c r="C704" s="62"/>
    </row>
    <row r="705" ht="15.75" customHeight="1">
      <c r="C705" s="62"/>
    </row>
    <row r="706" ht="15.75" customHeight="1">
      <c r="C706" s="62"/>
    </row>
    <row r="707" ht="15.75" customHeight="1">
      <c r="C707" s="62"/>
    </row>
    <row r="708" ht="15.75" customHeight="1">
      <c r="C708" s="62"/>
    </row>
    <row r="709" ht="15.75" customHeight="1">
      <c r="C709" s="62"/>
    </row>
    <row r="710" ht="15.75" customHeight="1">
      <c r="C710" s="62"/>
    </row>
    <row r="711" ht="15.75" customHeight="1">
      <c r="C711" s="62"/>
    </row>
    <row r="712" ht="15.75" customHeight="1">
      <c r="C712" s="62"/>
    </row>
    <row r="713" ht="15.75" customHeight="1">
      <c r="C713" s="62"/>
    </row>
    <row r="714" ht="15.75" customHeight="1">
      <c r="C714" s="62"/>
    </row>
    <row r="715" ht="15.75" customHeight="1">
      <c r="C715" s="62"/>
    </row>
    <row r="716" ht="15.75" customHeight="1">
      <c r="C716" s="62"/>
    </row>
    <row r="717" ht="15.75" customHeight="1">
      <c r="C717" s="62"/>
    </row>
    <row r="718" ht="15.75" customHeight="1">
      <c r="C718" s="62"/>
    </row>
    <row r="719" ht="15.75" customHeight="1">
      <c r="C719" s="62"/>
    </row>
    <row r="720" ht="15.75" customHeight="1">
      <c r="C720" s="62"/>
    </row>
    <row r="721" ht="15.75" customHeight="1">
      <c r="C721" s="62"/>
    </row>
    <row r="722" ht="15.75" customHeight="1">
      <c r="C722" s="62"/>
    </row>
    <row r="723" ht="15.75" customHeight="1">
      <c r="C723" s="62"/>
    </row>
    <row r="724" ht="15.75" customHeight="1">
      <c r="C724" s="62"/>
    </row>
    <row r="725" ht="15.75" customHeight="1">
      <c r="C725" s="62"/>
    </row>
    <row r="726" ht="15.75" customHeight="1">
      <c r="C726" s="62"/>
    </row>
    <row r="727" ht="15.75" customHeight="1">
      <c r="C727" s="62"/>
    </row>
    <row r="728" ht="15.75" customHeight="1">
      <c r="C728" s="62"/>
    </row>
    <row r="729" ht="15.75" customHeight="1">
      <c r="C729" s="62"/>
    </row>
    <row r="730" ht="15.75" customHeight="1">
      <c r="C730" s="62"/>
    </row>
    <row r="731" ht="15.75" customHeight="1">
      <c r="C731" s="62"/>
    </row>
    <row r="732" ht="15.75" customHeight="1">
      <c r="C732" s="62"/>
    </row>
    <row r="733" ht="15.75" customHeight="1">
      <c r="C733" s="62"/>
    </row>
    <row r="734" ht="15.75" customHeight="1">
      <c r="C734" s="62"/>
    </row>
    <row r="735" ht="15.75" customHeight="1">
      <c r="C735" s="62"/>
    </row>
    <row r="736" ht="15.75" customHeight="1">
      <c r="C736" s="62"/>
    </row>
    <row r="737" ht="15.75" customHeight="1">
      <c r="C737" s="62"/>
    </row>
    <row r="738" ht="15.75" customHeight="1">
      <c r="C738" s="62"/>
    </row>
    <row r="739" ht="15.75" customHeight="1">
      <c r="C739" s="62"/>
    </row>
    <row r="740" ht="15.75" customHeight="1">
      <c r="C740" s="62"/>
    </row>
    <row r="741" ht="15.75" customHeight="1">
      <c r="C741" s="62"/>
    </row>
    <row r="742" ht="15.75" customHeight="1">
      <c r="C742" s="62"/>
    </row>
    <row r="743" ht="15.75" customHeight="1">
      <c r="C743" s="62"/>
    </row>
    <row r="744" ht="15.75" customHeight="1">
      <c r="C744" s="62"/>
    </row>
    <row r="745" ht="15.75" customHeight="1">
      <c r="C745" s="62"/>
    </row>
    <row r="746" ht="15.75" customHeight="1">
      <c r="C746" s="62"/>
    </row>
    <row r="747" ht="15.75" customHeight="1">
      <c r="C747" s="62"/>
    </row>
    <row r="748" ht="15.75" customHeight="1">
      <c r="C748" s="62"/>
    </row>
    <row r="749" ht="15.75" customHeight="1">
      <c r="C749" s="62"/>
    </row>
    <row r="750" ht="15.75" customHeight="1">
      <c r="C750" s="62"/>
    </row>
    <row r="751" ht="15.75" customHeight="1">
      <c r="C751" s="62"/>
    </row>
    <row r="752" ht="15.75" customHeight="1">
      <c r="C752" s="62"/>
    </row>
    <row r="753" ht="15.75" customHeight="1">
      <c r="C753" s="62"/>
    </row>
    <row r="754" ht="15.75" customHeight="1">
      <c r="C754" s="62"/>
    </row>
    <row r="755" ht="15.75" customHeight="1">
      <c r="C755" s="62"/>
    </row>
    <row r="756" ht="15.75" customHeight="1">
      <c r="C756" s="62"/>
    </row>
    <row r="757" ht="15.75" customHeight="1">
      <c r="C757" s="62"/>
    </row>
    <row r="758" ht="15.75" customHeight="1">
      <c r="C758" s="62"/>
    </row>
    <row r="759" ht="15.75" customHeight="1">
      <c r="C759" s="62"/>
    </row>
    <row r="760" ht="15.75" customHeight="1">
      <c r="C760" s="62"/>
    </row>
    <row r="761" ht="15.75" customHeight="1">
      <c r="C761" s="62"/>
    </row>
    <row r="762" ht="15.75" customHeight="1">
      <c r="C762" s="62"/>
    </row>
    <row r="763" ht="15.75" customHeight="1">
      <c r="C763" s="62"/>
    </row>
    <row r="764" ht="15.75" customHeight="1">
      <c r="C764" s="62"/>
    </row>
    <row r="765" ht="15.75" customHeight="1">
      <c r="C765" s="62"/>
    </row>
    <row r="766" ht="15.75" customHeight="1">
      <c r="C766" s="62"/>
    </row>
    <row r="767" ht="15.75" customHeight="1">
      <c r="C767" s="62"/>
    </row>
    <row r="768" ht="15.75" customHeight="1">
      <c r="C768" s="62"/>
    </row>
    <row r="769" ht="15.75" customHeight="1">
      <c r="C769" s="62"/>
    </row>
    <row r="770" ht="15.75" customHeight="1">
      <c r="C770" s="62"/>
    </row>
    <row r="771" ht="15.75" customHeight="1">
      <c r="C771" s="62"/>
    </row>
    <row r="772" ht="15.75" customHeight="1">
      <c r="C772" s="62"/>
    </row>
    <row r="773" ht="15.75" customHeight="1">
      <c r="C773" s="62"/>
    </row>
    <row r="774" ht="15.75" customHeight="1">
      <c r="C774" s="62"/>
    </row>
    <row r="775" ht="15.75" customHeight="1">
      <c r="C775" s="62"/>
    </row>
    <row r="776" ht="15.75" customHeight="1">
      <c r="C776" s="62"/>
    </row>
    <row r="777" ht="15.75" customHeight="1">
      <c r="C777" s="62"/>
    </row>
    <row r="778" ht="15.75" customHeight="1">
      <c r="C778" s="62"/>
    </row>
    <row r="779" ht="15.75" customHeight="1">
      <c r="C779" s="62"/>
    </row>
    <row r="780" ht="15.75" customHeight="1">
      <c r="C780" s="62"/>
    </row>
    <row r="781" ht="15.75" customHeight="1">
      <c r="C781" s="62"/>
    </row>
    <row r="782" ht="15.75" customHeight="1">
      <c r="C782" s="62"/>
    </row>
    <row r="783" ht="15.75" customHeight="1">
      <c r="C783" s="62"/>
    </row>
    <row r="784" ht="15.75" customHeight="1">
      <c r="C784" s="62"/>
    </row>
    <row r="785" ht="15.75" customHeight="1">
      <c r="C785" s="62"/>
    </row>
    <row r="786" ht="15.75" customHeight="1">
      <c r="C786" s="62"/>
    </row>
    <row r="787" ht="15.75" customHeight="1">
      <c r="C787" s="62"/>
    </row>
    <row r="788" ht="15.75" customHeight="1">
      <c r="C788" s="62"/>
    </row>
    <row r="789" ht="15.75" customHeight="1">
      <c r="C789" s="62"/>
    </row>
    <row r="790" ht="15.75" customHeight="1">
      <c r="C790" s="62"/>
    </row>
    <row r="791" ht="15.75" customHeight="1">
      <c r="C791" s="62"/>
    </row>
    <row r="792" ht="15.75" customHeight="1">
      <c r="C792" s="62"/>
    </row>
    <row r="793" ht="15.75" customHeight="1">
      <c r="C793" s="62"/>
    </row>
    <row r="794" ht="15.75" customHeight="1">
      <c r="C794" s="62"/>
    </row>
    <row r="795" ht="15.75" customHeight="1">
      <c r="C795" s="62"/>
    </row>
    <row r="796" ht="15.75" customHeight="1">
      <c r="C796" s="62"/>
    </row>
    <row r="797" ht="15.75" customHeight="1">
      <c r="C797" s="62"/>
    </row>
    <row r="798" ht="15.75" customHeight="1">
      <c r="C798" s="62"/>
    </row>
    <row r="799" ht="15.75" customHeight="1">
      <c r="C799" s="62"/>
    </row>
    <row r="800" ht="15.75" customHeight="1">
      <c r="C800" s="62"/>
    </row>
    <row r="801" ht="15.75" customHeight="1">
      <c r="C801" s="62"/>
    </row>
    <row r="802" ht="15.75" customHeight="1">
      <c r="C802" s="62"/>
    </row>
    <row r="803" ht="15.75" customHeight="1">
      <c r="C803" s="62"/>
    </row>
    <row r="804" ht="15.75" customHeight="1">
      <c r="C804" s="62"/>
    </row>
    <row r="805" ht="15.75" customHeight="1">
      <c r="C805" s="62"/>
    </row>
    <row r="806" ht="15.75" customHeight="1">
      <c r="C806" s="62"/>
    </row>
    <row r="807" ht="15.75" customHeight="1">
      <c r="C807" s="62"/>
    </row>
    <row r="808" ht="15.75" customHeight="1">
      <c r="C808" s="62"/>
    </row>
    <row r="809" ht="15.75" customHeight="1">
      <c r="C809" s="62"/>
    </row>
    <row r="810" ht="15.75" customHeight="1">
      <c r="C810" s="62"/>
    </row>
    <row r="811" ht="15.75" customHeight="1">
      <c r="C811" s="62"/>
    </row>
    <row r="812" ht="15.75" customHeight="1">
      <c r="C812" s="62"/>
    </row>
    <row r="813" ht="15.75" customHeight="1">
      <c r="C813" s="62"/>
    </row>
    <row r="814" ht="15.75" customHeight="1">
      <c r="C814" s="62"/>
    </row>
    <row r="815" ht="15.75" customHeight="1">
      <c r="C815" s="62"/>
    </row>
    <row r="816" ht="15.75" customHeight="1">
      <c r="C816" s="62"/>
    </row>
    <row r="817" ht="15.75" customHeight="1">
      <c r="C817" s="62"/>
    </row>
    <row r="818" ht="15.75" customHeight="1">
      <c r="C818" s="62"/>
    </row>
    <row r="819" ht="15.75" customHeight="1">
      <c r="C819" s="62"/>
    </row>
    <row r="820" ht="15.75" customHeight="1">
      <c r="C820" s="62"/>
    </row>
    <row r="821" ht="15.75" customHeight="1">
      <c r="C821" s="62"/>
    </row>
    <row r="822" ht="15.75" customHeight="1">
      <c r="C822" s="62"/>
    </row>
    <row r="823" ht="15.75" customHeight="1">
      <c r="C823" s="62"/>
    </row>
    <row r="824" ht="15.75" customHeight="1">
      <c r="C824" s="62"/>
    </row>
    <row r="825" ht="15.75" customHeight="1">
      <c r="C825" s="62"/>
    </row>
    <row r="826" ht="15.75" customHeight="1">
      <c r="C826" s="62"/>
    </row>
    <row r="827" ht="15.75" customHeight="1">
      <c r="C827" s="62"/>
    </row>
    <row r="828" ht="15.75" customHeight="1">
      <c r="C828" s="62"/>
    </row>
    <row r="829" ht="15.75" customHeight="1">
      <c r="C829" s="62"/>
    </row>
    <row r="830" ht="15.75" customHeight="1">
      <c r="C830" s="62"/>
    </row>
    <row r="831" ht="15.75" customHeight="1">
      <c r="C831" s="62"/>
    </row>
    <row r="832" ht="15.75" customHeight="1">
      <c r="C832" s="62"/>
    </row>
    <row r="833" ht="15.75" customHeight="1">
      <c r="C833" s="62"/>
    </row>
    <row r="834" ht="15.75" customHeight="1">
      <c r="C834" s="62"/>
    </row>
    <row r="835" ht="15.75" customHeight="1">
      <c r="C835" s="62"/>
    </row>
    <row r="836" ht="15.75" customHeight="1">
      <c r="C836" s="62"/>
    </row>
    <row r="837" ht="15.75" customHeight="1">
      <c r="C837" s="62"/>
    </row>
    <row r="838" ht="15.75" customHeight="1">
      <c r="C838" s="62"/>
    </row>
    <row r="839" ht="15.75" customHeight="1">
      <c r="C839" s="62"/>
    </row>
    <row r="840" ht="15.75" customHeight="1">
      <c r="C840" s="62"/>
    </row>
    <row r="841" ht="15.75" customHeight="1">
      <c r="C841" s="62"/>
    </row>
    <row r="842" ht="15.75" customHeight="1">
      <c r="C842" s="62"/>
    </row>
    <row r="843" ht="15.75" customHeight="1">
      <c r="C843" s="62"/>
    </row>
    <row r="844" ht="15.75" customHeight="1">
      <c r="C844" s="62"/>
    </row>
    <row r="845" ht="15.75" customHeight="1">
      <c r="C845" s="62"/>
    </row>
    <row r="846" ht="15.75" customHeight="1">
      <c r="C846" s="62"/>
    </row>
    <row r="847" ht="15.75" customHeight="1">
      <c r="C847" s="62"/>
    </row>
    <row r="848" ht="15.75" customHeight="1">
      <c r="C848" s="62"/>
    </row>
    <row r="849" ht="15.75" customHeight="1">
      <c r="C849" s="62"/>
    </row>
    <row r="850" ht="15.75" customHeight="1">
      <c r="C850" s="62"/>
    </row>
    <row r="851" ht="15.75" customHeight="1">
      <c r="C851" s="62"/>
    </row>
    <row r="852" ht="15.75" customHeight="1">
      <c r="C852" s="62"/>
    </row>
    <row r="853" ht="15.75" customHeight="1">
      <c r="C853" s="62"/>
    </row>
    <row r="854" ht="15.75" customHeight="1">
      <c r="C854" s="62"/>
    </row>
    <row r="855" ht="15.75" customHeight="1">
      <c r="C855" s="62"/>
    </row>
    <row r="856" ht="15.75" customHeight="1">
      <c r="C856" s="62"/>
    </row>
    <row r="857" ht="15.75" customHeight="1">
      <c r="C857" s="62"/>
    </row>
    <row r="858" ht="15.75" customHeight="1">
      <c r="C858" s="62"/>
    </row>
    <row r="859" ht="15.75" customHeight="1">
      <c r="C859" s="62"/>
    </row>
    <row r="860" ht="15.75" customHeight="1">
      <c r="C860" s="62"/>
    </row>
    <row r="861" ht="15.75" customHeight="1">
      <c r="C861" s="62"/>
    </row>
    <row r="862" ht="15.75" customHeight="1">
      <c r="C862" s="62"/>
    </row>
    <row r="863" ht="15.75" customHeight="1">
      <c r="C863" s="62"/>
    </row>
    <row r="864" ht="15.75" customHeight="1">
      <c r="C864" s="62"/>
    </row>
    <row r="865" ht="15.75" customHeight="1">
      <c r="C865" s="62"/>
    </row>
    <row r="866" ht="15.75" customHeight="1">
      <c r="C866" s="62"/>
    </row>
    <row r="867" ht="15.75" customHeight="1">
      <c r="C867" s="62"/>
    </row>
    <row r="868" ht="15.75" customHeight="1">
      <c r="C868" s="62"/>
    </row>
    <row r="869" ht="15.75" customHeight="1">
      <c r="C869" s="62"/>
    </row>
    <row r="870" ht="15.75" customHeight="1">
      <c r="C870" s="62"/>
    </row>
    <row r="871" ht="15.75" customHeight="1">
      <c r="C871" s="62"/>
    </row>
    <row r="872" ht="15.75" customHeight="1">
      <c r="C872" s="62"/>
    </row>
    <row r="873" ht="15.75" customHeight="1">
      <c r="C873" s="62"/>
    </row>
    <row r="874" ht="15.75" customHeight="1">
      <c r="C874" s="62"/>
    </row>
    <row r="875" ht="15.75" customHeight="1">
      <c r="C875" s="62"/>
    </row>
    <row r="876" ht="15.75" customHeight="1">
      <c r="C876" s="62"/>
    </row>
    <row r="877" ht="15.75" customHeight="1">
      <c r="C877" s="62"/>
    </row>
    <row r="878" ht="15.75" customHeight="1">
      <c r="C878" s="62"/>
    </row>
    <row r="879" ht="15.75" customHeight="1">
      <c r="C879" s="62"/>
    </row>
    <row r="880" ht="15.75" customHeight="1">
      <c r="C880" s="62"/>
    </row>
    <row r="881" ht="15.75" customHeight="1">
      <c r="C881" s="62"/>
    </row>
    <row r="882" ht="15.75" customHeight="1">
      <c r="C882" s="62"/>
    </row>
    <row r="883" ht="15.75" customHeight="1">
      <c r="C883" s="62"/>
    </row>
    <row r="884" ht="15.75" customHeight="1">
      <c r="C884" s="62"/>
    </row>
    <row r="885" ht="15.75" customHeight="1">
      <c r="C885" s="62"/>
    </row>
    <row r="886" ht="15.75" customHeight="1">
      <c r="C886" s="62"/>
    </row>
    <row r="887" ht="15.75" customHeight="1">
      <c r="C887" s="62"/>
    </row>
    <row r="888" ht="15.75" customHeight="1">
      <c r="C888" s="62"/>
    </row>
    <row r="889" ht="15.75" customHeight="1">
      <c r="C889" s="62"/>
    </row>
    <row r="890" ht="15.75" customHeight="1">
      <c r="C890" s="62"/>
    </row>
    <row r="891" ht="15.75" customHeight="1">
      <c r="C891" s="62"/>
    </row>
    <row r="892" ht="15.75" customHeight="1">
      <c r="C892" s="62"/>
    </row>
    <row r="893" ht="15.75" customHeight="1">
      <c r="C893" s="62"/>
    </row>
    <row r="894" ht="15.75" customHeight="1">
      <c r="C894" s="62"/>
    </row>
    <row r="895" ht="15.75" customHeight="1">
      <c r="C895" s="62"/>
    </row>
    <row r="896" ht="15.75" customHeight="1">
      <c r="C896" s="62"/>
    </row>
    <row r="897" ht="15.75" customHeight="1">
      <c r="C897" s="62"/>
    </row>
    <row r="898" ht="15.75" customHeight="1">
      <c r="C898" s="62"/>
    </row>
    <row r="899" ht="15.75" customHeight="1">
      <c r="C899" s="62"/>
    </row>
    <row r="900" ht="15.75" customHeight="1">
      <c r="C900" s="62"/>
    </row>
    <row r="901" ht="15.75" customHeight="1">
      <c r="C901" s="62"/>
    </row>
    <row r="902" ht="15.75" customHeight="1">
      <c r="C902" s="62"/>
    </row>
    <row r="903" ht="15.75" customHeight="1">
      <c r="C903" s="62"/>
    </row>
    <row r="904" ht="15.75" customHeight="1">
      <c r="C904" s="62"/>
    </row>
    <row r="905" ht="15.75" customHeight="1">
      <c r="C905" s="62"/>
    </row>
    <row r="906" ht="15.75" customHeight="1">
      <c r="C906" s="62"/>
    </row>
    <row r="907" ht="15.75" customHeight="1">
      <c r="C907" s="62"/>
    </row>
    <row r="908" ht="15.75" customHeight="1">
      <c r="C908" s="62"/>
    </row>
    <row r="909" ht="15.75" customHeight="1">
      <c r="C909" s="62"/>
    </row>
    <row r="910" ht="15.75" customHeight="1">
      <c r="C910" s="62"/>
    </row>
    <row r="911" ht="15.75" customHeight="1">
      <c r="C911" s="62"/>
    </row>
    <row r="912" ht="15.75" customHeight="1">
      <c r="C912" s="62"/>
    </row>
    <row r="913" ht="15.75" customHeight="1">
      <c r="C913" s="62"/>
    </row>
    <row r="914" ht="15.75" customHeight="1">
      <c r="C914" s="62"/>
    </row>
    <row r="915" ht="15.75" customHeight="1">
      <c r="C915" s="62"/>
    </row>
    <row r="916" ht="15.75" customHeight="1">
      <c r="C916" s="62"/>
    </row>
    <row r="917" ht="15.75" customHeight="1">
      <c r="C917" s="62"/>
    </row>
    <row r="918" ht="15.75" customHeight="1">
      <c r="C918" s="62"/>
    </row>
    <row r="919" ht="15.75" customHeight="1">
      <c r="C919" s="62"/>
    </row>
    <row r="920" ht="15.75" customHeight="1">
      <c r="C920" s="62"/>
    </row>
    <row r="921" ht="15.75" customHeight="1">
      <c r="C921" s="62"/>
    </row>
    <row r="922" ht="15.75" customHeight="1">
      <c r="C922" s="62"/>
    </row>
    <row r="923" ht="15.75" customHeight="1">
      <c r="C923" s="62"/>
    </row>
    <row r="924" ht="15.75" customHeight="1">
      <c r="C924" s="62"/>
    </row>
    <row r="925" ht="15.75" customHeight="1">
      <c r="C925" s="62"/>
    </row>
    <row r="926" ht="15.75" customHeight="1">
      <c r="C926" s="62"/>
    </row>
    <row r="927" ht="15.75" customHeight="1">
      <c r="C927" s="62"/>
    </row>
    <row r="928" ht="15.75" customHeight="1">
      <c r="C928" s="62"/>
    </row>
    <row r="929" ht="15.75" customHeight="1">
      <c r="C929" s="62"/>
    </row>
    <row r="930" ht="15.75" customHeight="1">
      <c r="C930" s="62"/>
    </row>
    <row r="931" ht="15.75" customHeight="1">
      <c r="C931" s="62"/>
    </row>
    <row r="932" ht="15.75" customHeight="1">
      <c r="C932" s="62"/>
    </row>
    <row r="933" ht="15.75" customHeight="1">
      <c r="C933" s="62"/>
    </row>
    <row r="934" ht="15.75" customHeight="1">
      <c r="C934" s="62"/>
    </row>
    <row r="935" ht="15.75" customHeight="1">
      <c r="C935" s="62"/>
    </row>
    <row r="936" ht="15.75" customHeight="1">
      <c r="C936" s="62"/>
    </row>
    <row r="937" ht="15.75" customHeight="1">
      <c r="C937" s="62"/>
    </row>
    <row r="938" ht="15.75" customHeight="1">
      <c r="C938" s="62"/>
    </row>
    <row r="939" ht="15.75" customHeight="1">
      <c r="C939" s="62"/>
    </row>
    <row r="940" ht="15.75" customHeight="1">
      <c r="C940" s="62"/>
    </row>
    <row r="941" ht="15.75" customHeight="1">
      <c r="C941" s="62"/>
    </row>
    <row r="942" ht="15.75" customHeight="1">
      <c r="C942" s="62"/>
    </row>
    <row r="943" ht="15.75" customHeight="1">
      <c r="C943" s="62"/>
    </row>
    <row r="944" ht="15.75" customHeight="1">
      <c r="C944" s="62"/>
    </row>
    <row r="945" ht="15.75" customHeight="1">
      <c r="C945" s="62"/>
    </row>
    <row r="946" ht="15.75" customHeight="1">
      <c r="C946" s="62"/>
    </row>
    <row r="947" ht="15.75" customHeight="1">
      <c r="C947" s="62"/>
    </row>
    <row r="948" ht="15.75" customHeight="1">
      <c r="C948" s="62"/>
    </row>
    <row r="949" ht="15.75" customHeight="1">
      <c r="C949" s="62"/>
    </row>
    <row r="950" ht="15.75" customHeight="1">
      <c r="C950" s="62"/>
    </row>
    <row r="951" ht="15.75" customHeight="1">
      <c r="C951" s="62"/>
    </row>
    <row r="952" ht="15.75" customHeight="1">
      <c r="C952" s="62"/>
    </row>
    <row r="953" ht="15.75" customHeight="1">
      <c r="C953" s="62"/>
    </row>
    <row r="954" ht="15.75" customHeight="1">
      <c r="C954" s="62"/>
    </row>
    <row r="955" ht="15.75" customHeight="1">
      <c r="C955" s="62"/>
    </row>
    <row r="956" ht="15.75" customHeight="1">
      <c r="C956" s="62"/>
    </row>
    <row r="957" ht="15.75" customHeight="1">
      <c r="C957" s="62"/>
    </row>
    <row r="958" ht="15.75" customHeight="1">
      <c r="C958" s="62"/>
    </row>
    <row r="959" ht="15.75" customHeight="1">
      <c r="C959" s="62"/>
    </row>
    <row r="960" ht="15.75" customHeight="1">
      <c r="C960" s="62"/>
    </row>
    <row r="961" ht="15.75" customHeight="1">
      <c r="C961" s="62"/>
    </row>
    <row r="962" ht="15.75" customHeight="1">
      <c r="C962" s="62"/>
    </row>
    <row r="963" ht="15.75" customHeight="1">
      <c r="C963" s="62"/>
    </row>
    <row r="964" ht="15.75" customHeight="1">
      <c r="C964" s="62"/>
    </row>
    <row r="965" ht="15.75" customHeight="1">
      <c r="C965" s="62"/>
    </row>
    <row r="966" ht="15.75" customHeight="1">
      <c r="C966" s="62"/>
    </row>
    <row r="967" ht="15.75" customHeight="1">
      <c r="C967" s="62"/>
    </row>
    <row r="968" ht="15.75" customHeight="1">
      <c r="C968" s="62"/>
    </row>
    <row r="969" ht="15.75" customHeight="1">
      <c r="C969" s="62"/>
    </row>
    <row r="970" ht="15.75" customHeight="1">
      <c r="C970" s="62"/>
    </row>
    <row r="971" ht="15.75" customHeight="1">
      <c r="C971" s="62"/>
    </row>
    <row r="972" ht="15.75" customHeight="1">
      <c r="C972" s="62"/>
    </row>
    <row r="973" ht="15.75" customHeight="1">
      <c r="C973" s="62"/>
    </row>
    <row r="974" ht="15.75" customHeight="1">
      <c r="C974" s="62"/>
    </row>
    <row r="975" ht="15.75" customHeight="1">
      <c r="C975" s="62"/>
    </row>
    <row r="976" ht="15.75" customHeight="1">
      <c r="C976" s="62"/>
    </row>
    <row r="977" ht="15.75" customHeight="1">
      <c r="C977" s="62"/>
    </row>
    <row r="978" ht="15.75" customHeight="1">
      <c r="C978" s="62"/>
    </row>
    <row r="979" ht="15.75" customHeight="1">
      <c r="C979" s="62"/>
    </row>
    <row r="980" ht="15.75" customHeight="1">
      <c r="C980" s="62"/>
    </row>
    <row r="981" ht="15.75" customHeight="1">
      <c r="C981" s="62"/>
    </row>
    <row r="982" ht="15.75" customHeight="1">
      <c r="C982" s="62"/>
    </row>
    <row r="983" ht="15.75" customHeight="1">
      <c r="C983" s="62"/>
    </row>
    <row r="984" ht="15.75" customHeight="1">
      <c r="C984" s="62"/>
    </row>
    <row r="985" ht="15.75" customHeight="1">
      <c r="C985" s="62"/>
    </row>
    <row r="986" ht="15.75" customHeight="1">
      <c r="C986" s="62"/>
    </row>
    <row r="987" ht="15.75" customHeight="1">
      <c r="C987" s="62"/>
    </row>
    <row r="988" ht="15.75" customHeight="1">
      <c r="C988" s="62"/>
    </row>
    <row r="989" ht="15.75" customHeight="1">
      <c r="C989" s="62"/>
    </row>
    <row r="990" ht="15.75" customHeight="1">
      <c r="C990" s="62"/>
    </row>
    <row r="991" ht="15.75" customHeight="1">
      <c r="C991" s="62"/>
    </row>
    <row r="992" ht="15.75" customHeight="1">
      <c r="C992" s="62"/>
    </row>
    <row r="993" ht="15.75" customHeight="1">
      <c r="C993" s="62"/>
    </row>
    <row r="994" ht="15.75" customHeight="1">
      <c r="C994" s="62"/>
    </row>
    <row r="995" ht="15.75" customHeight="1">
      <c r="C995" s="62"/>
    </row>
    <row r="996" ht="15.75" customHeight="1">
      <c r="C996" s="62"/>
    </row>
    <row r="997" ht="15.75" customHeight="1">
      <c r="C997" s="62"/>
    </row>
    <row r="998" ht="15.75" customHeight="1">
      <c r="C998" s="62"/>
    </row>
    <row r="999" ht="15.75" customHeight="1">
      <c r="C999" s="62"/>
    </row>
    <row r="1000" ht="15.75" customHeight="1">
      <c r="C1000" s="62"/>
    </row>
    <row r="1001" ht="15.75" customHeight="1">
      <c r="C1001" s="62"/>
    </row>
    <row r="1002" ht="15.75" customHeight="1">
      <c r="C1002" s="62"/>
    </row>
    <row r="1003" ht="15.75" customHeight="1">
      <c r="C1003" s="62"/>
    </row>
    <row r="1004" ht="15.75" customHeight="1">
      <c r="C1004" s="62"/>
    </row>
    <row r="1005" ht="15.75" customHeight="1">
      <c r="C1005" s="62"/>
    </row>
    <row r="1006" ht="15.75" customHeight="1">
      <c r="C1006" s="62"/>
    </row>
    <row r="1007" ht="15.75" customHeight="1">
      <c r="C1007" s="62"/>
    </row>
    <row r="1008" ht="15.75" customHeight="1">
      <c r="C1008" s="62"/>
    </row>
  </sheetData>
  <autoFilter ref="$A$1:$Y$1008">
    <sortState ref="A1:Y1008">
      <sortCondition ref="B1:B1008"/>
    </sortState>
  </autoFilter>
  <hyperlinks>
    <hyperlink r:id="rId1" ref="I5"/>
    <hyperlink r:id="rId2" ref="I6"/>
    <hyperlink r:id="rId3" ref="I7"/>
    <hyperlink r:id="rId4" ref="I8"/>
    <hyperlink r:id="rId5" ref="I9"/>
    <hyperlink r:id="rId6" ref="I10"/>
    <hyperlink r:id="rId7" ref="I11"/>
    <hyperlink r:id="rId8" ref="I12"/>
    <hyperlink r:id="rId9" ref="I13"/>
    <hyperlink r:id="rId10" ref="I14"/>
    <hyperlink r:id="rId11" ref="I15"/>
    <hyperlink r:id="rId12" ref="I16"/>
    <hyperlink r:id="rId13" ref="I17"/>
    <hyperlink r:id="rId14" ref="I18"/>
    <hyperlink r:id="rId15" ref="I19"/>
    <hyperlink r:id="rId16" ref="I20"/>
    <hyperlink r:id="rId17" ref="I21"/>
    <hyperlink r:id="rId18" ref="I22"/>
    <hyperlink r:id="rId19" ref="I23"/>
    <hyperlink r:id="rId20" ref="I24"/>
    <hyperlink r:id="rId21" ref="I25"/>
    <hyperlink r:id="rId22" ref="I26"/>
    <hyperlink r:id="rId23" ref="I27"/>
    <hyperlink r:id="rId24" ref="I28"/>
    <hyperlink r:id="rId25" ref="I29"/>
    <hyperlink r:id="rId26" ref="I30"/>
    <hyperlink r:id="rId27" ref="I31"/>
    <hyperlink r:id="rId28" ref="I32"/>
    <hyperlink r:id="rId29" ref="I33"/>
    <hyperlink r:id="rId30" ref="I34"/>
    <hyperlink r:id="rId31" ref="I35"/>
    <hyperlink r:id="rId32" ref="I36"/>
    <hyperlink r:id="rId33" ref="I37"/>
    <hyperlink r:id="rId34" ref="I38"/>
    <hyperlink r:id="rId35" ref="I39"/>
    <hyperlink r:id="rId36" ref="I40"/>
    <hyperlink r:id="rId37" ref="I41"/>
    <hyperlink r:id="rId38" ref="I42"/>
    <hyperlink r:id="rId39" ref="I43"/>
    <hyperlink r:id="rId40" ref="I44"/>
    <hyperlink r:id="rId41" ref="I45"/>
    <hyperlink r:id="rId42" ref="I46"/>
    <hyperlink r:id="rId43" ref="I47"/>
    <hyperlink r:id="rId44" ref="I48"/>
    <hyperlink r:id="rId45" ref="I49"/>
    <hyperlink r:id="rId46" ref="I50"/>
    <hyperlink r:id="rId47" ref="I51"/>
    <hyperlink r:id="rId48" ref="I52"/>
    <hyperlink r:id="rId49" ref="I53"/>
    <hyperlink r:id="rId50" ref="I54"/>
    <hyperlink r:id="rId51" ref="I55"/>
    <hyperlink r:id="rId52" ref="I56"/>
    <hyperlink r:id="rId53" ref="I57"/>
    <hyperlink r:id="rId54" ref="I58"/>
    <hyperlink r:id="rId55" ref="I59"/>
    <hyperlink r:id="rId56" ref="I60"/>
    <hyperlink r:id="rId57" ref="I61"/>
    <hyperlink r:id="rId58" ref="I62"/>
    <hyperlink r:id="rId59" ref="I63"/>
    <hyperlink r:id="rId60" ref="I64"/>
    <hyperlink r:id="rId61" ref="I65"/>
    <hyperlink r:id="rId62" ref="I66"/>
    <hyperlink r:id="rId63" ref="I67"/>
    <hyperlink r:id="rId64" ref="I68"/>
    <hyperlink r:id="rId65" ref="I70"/>
    <hyperlink r:id="rId66" ref="I71"/>
    <hyperlink r:id="rId67" ref="I72"/>
    <hyperlink r:id="rId68" ref="I73"/>
    <hyperlink r:id="rId69" ref="I74"/>
    <hyperlink r:id="rId70" ref="I75"/>
    <hyperlink r:id="rId71" ref="I76"/>
    <hyperlink r:id="rId72" ref="I77"/>
    <hyperlink r:id="rId73" ref="I78"/>
    <hyperlink r:id="rId74" ref="I79"/>
    <hyperlink r:id="rId75" ref="I80"/>
    <hyperlink r:id="rId76" ref="I81"/>
    <hyperlink r:id="rId77" ref="I82"/>
    <hyperlink r:id="rId78" ref="I83"/>
    <hyperlink r:id="rId79" ref="I84"/>
    <hyperlink r:id="rId80" ref="I85"/>
    <hyperlink r:id="rId81" ref="I86"/>
    <hyperlink r:id="rId82" ref="I87"/>
    <hyperlink r:id="rId83" ref="I88"/>
    <hyperlink r:id="rId84" ref="I89"/>
    <hyperlink r:id="rId85" ref="I90"/>
    <hyperlink r:id="rId86" ref="I91"/>
    <hyperlink r:id="rId87" ref="I92"/>
    <hyperlink r:id="rId88" ref="I93"/>
    <hyperlink r:id="rId89" ref="I94"/>
    <hyperlink r:id="rId90" ref="I95"/>
    <hyperlink r:id="rId91" ref="I96"/>
    <hyperlink r:id="rId92" ref="I97"/>
    <hyperlink r:id="rId93" ref="I98"/>
    <hyperlink r:id="rId94" ref="I99"/>
    <hyperlink r:id="rId95" ref="I100"/>
    <hyperlink r:id="rId96" ref="I101"/>
    <hyperlink r:id="rId97" ref="I102"/>
    <hyperlink r:id="rId98" ref="I103"/>
    <hyperlink r:id="rId99" ref="I104"/>
    <hyperlink r:id="rId100" ref="I105"/>
    <hyperlink r:id="rId101" ref="I106"/>
    <hyperlink r:id="rId102" ref="I107"/>
    <hyperlink r:id="rId103" ref="I108"/>
    <hyperlink r:id="rId104" ref="I109"/>
    <hyperlink r:id="rId105" ref="I110"/>
    <hyperlink r:id="rId106" ref="I111"/>
    <hyperlink r:id="rId107" ref="I112"/>
    <hyperlink r:id="rId108" ref="I113"/>
    <hyperlink r:id="rId109" ref="I114"/>
    <hyperlink r:id="rId110" ref="I115"/>
    <hyperlink r:id="rId111" ref="I116"/>
    <hyperlink r:id="rId112" ref="I117"/>
    <hyperlink r:id="rId113" ref="I118"/>
    <hyperlink r:id="rId114" ref="I119"/>
    <hyperlink r:id="rId115" ref="I120"/>
    <hyperlink r:id="rId116" ref="I121"/>
    <hyperlink r:id="rId117" ref="I122"/>
    <hyperlink r:id="rId118" ref="I123"/>
    <hyperlink r:id="rId119" ref="I124"/>
    <hyperlink r:id="rId120" ref="I125"/>
    <hyperlink r:id="rId121" ref="I126"/>
    <hyperlink r:id="rId122" ref="I127"/>
    <hyperlink r:id="rId123" ref="I128"/>
    <hyperlink r:id="rId124" ref="I129"/>
    <hyperlink r:id="rId125" ref="I130"/>
    <hyperlink r:id="rId126" ref="I131"/>
    <hyperlink r:id="rId127" ref="I132"/>
    <hyperlink r:id="rId128" ref="I134"/>
    <hyperlink r:id="rId129" ref="I135"/>
    <hyperlink r:id="rId130" ref="I136"/>
    <hyperlink r:id="rId131" ref="I137"/>
    <hyperlink r:id="rId132" ref="I138"/>
    <hyperlink r:id="rId133" ref="I139"/>
    <hyperlink r:id="rId134" ref="I140"/>
    <hyperlink r:id="rId135" ref="I141"/>
    <hyperlink r:id="rId136" ref="I142"/>
    <hyperlink r:id="rId137" ref="I143"/>
    <hyperlink r:id="rId138" ref="I144"/>
    <hyperlink r:id="rId139" ref="I146"/>
    <hyperlink r:id="rId140" ref="I147"/>
    <hyperlink r:id="rId141" ref="I148"/>
    <hyperlink r:id="rId142" ref="I149"/>
    <hyperlink r:id="rId143" ref="I150"/>
    <hyperlink r:id="rId144" ref="I151"/>
    <hyperlink r:id="rId145" ref="I152"/>
    <hyperlink r:id="rId146" ref="I153"/>
    <hyperlink r:id="rId147" ref="I154"/>
    <hyperlink r:id="rId148" ref="I155"/>
    <hyperlink r:id="rId149" ref="I156"/>
    <hyperlink r:id="rId150" ref="I157"/>
    <hyperlink r:id="rId151" ref="I158"/>
    <hyperlink r:id="rId152" ref="I159"/>
    <hyperlink r:id="rId153" ref="I161"/>
    <hyperlink r:id="rId154" ref="I162"/>
    <hyperlink r:id="rId155" ref="I163"/>
    <hyperlink r:id="rId156" ref="I164"/>
    <hyperlink r:id="rId157" ref="I165"/>
    <hyperlink r:id="rId158" ref="I166"/>
    <hyperlink r:id="rId159" ref="I167"/>
    <hyperlink r:id="rId160" ref="I168"/>
    <hyperlink r:id="rId161" ref="I169"/>
    <hyperlink r:id="rId162" ref="I170"/>
    <hyperlink r:id="rId163" ref="I171"/>
    <hyperlink r:id="rId164" ref="I172"/>
    <hyperlink r:id="rId165" ref="I173"/>
    <hyperlink r:id="rId166" ref="I174"/>
    <hyperlink r:id="rId167" ref="I175"/>
    <hyperlink r:id="rId168" ref="I176"/>
    <hyperlink r:id="rId169" ref="I177"/>
    <hyperlink r:id="rId170" ref="I178"/>
    <hyperlink r:id="rId171" ref="I179"/>
    <hyperlink r:id="rId172" ref="I180"/>
    <hyperlink r:id="rId173" ref="I181"/>
    <hyperlink r:id="rId174" ref="I182"/>
    <hyperlink r:id="rId175" ref="I183"/>
    <hyperlink r:id="rId176" ref="I184"/>
    <hyperlink r:id="rId177" ref="I185"/>
    <hyperlink r:id="rId178" ref="I186"/>
    <hyperlink r:id="rId179" ref="I187"/>
    <hyperlink r:id="rId180" ref="I188"/>
    <hyperlink r:id="rId181" ref="I189"/>
    <hyperlink r:id="rId182" ref="I190"/>
    <hyperlink r:id="rId183" ref="I191"/>
    <hyperlink r:id="rId184" ref="I192"/>
    <hyperlink r:id="rId185" ref="I193"/>
    <hyperlink r:id="rId186" ref="I194"/>
    <hyperlink r:id="rId187" ref="I195"/>
    <hyperlink r:id="rId188" ref="I196"/>
    <hyperlink r:id="rId189" ref="I197"/>
    <hyperlink r:id="rId190" ref="I198"/>
    <hyperlink r:id="rId191" ref="I199"/>
    <hyperlink r:id="rId192" ref="I200"/>
    <hyperlink r:id="rId193" ref="I201"/>
    <hyperlink r:id="rId194" ref="I202"/>
    <hyperlink r:id="rId195" ref="I203"/>
    <hyperlink r:id="rId196" ref="I204"/>
    <hyperlink r:id="rId197" ref="I205"/>
    <hyperlink r:id="rId198" ref="I206"/>
    <hyperlink r:id="rId199" ref="I207"/>
    <hyperlink r:id="rId200" ref="I208"/>
    <hyperlink r:id="rId201" ref="I209"/>
    <hyperlink r:id="rId202" ref="I210"/>
    <hyperlink r:id="rId203" ref="I211"/>
    <hyperlink r:id="rId204" ref="I212"/>
    <hyperlink r:id="rId205" ref="I213"/>
    <hyperlink r:id="rId206" ref="I214"/>
    <hyperlink r:id="rId207" ref="I215"/>
    <hyperlink r:id="rId208" ref="I216"/>
    <hyperlink r:id="rId209" ref="I217"/>
    <hyperlink r:id="rId210" ref="I218"/>
    <hyperlink r:id="rId211" ref="I219"/>
    <hyperlink r:id="rId212" ref="I220"/>
    <hyperlink r:id="rId213" ref="I221"/>
    <hyperlink r:id="rId214" ref="I222"/>
    <hyperlink r:id="rId215" ref="I223"/>
    <hyperlink r:id="rId216" ref="I224"/>
    <hyperlink r:id="rId217" ref="I225"/>
    <hyperlink r:id="rId218" ref="I226"/>
    <hyperlink r:id="rId219" ref="I227"/>
    <hyperlink r:id="rId220" ref="I228"/>
    <hyperlink r:id="rId221" ref="I229"/>
    <hyperlink r:id="rId222" ref="I231"/>
    <hyperlink r:id="rId223" ref="I232"/>
    <hyperlink r:id="rId224" ref="I233"/>
    <hyperlink r:id="rId225" ref="I234"/>
    <hyperlink r:id="rId226" ref="I235"/>
    <hyperlink r:id="rId227" ref="I236"/>
    <hyperlink r:id="rId228" ref="I237"/>
    <hyperlink r:id="rId229" ref="I238"/>
    <hyperlink r:id="rId230" ref="I239"/>
    <hyperlink r:id="rId231" ref="I240"/>
    <hyperlink r:id="rId232" ref="I241"/>
    <hyperlink r:id="rId233" ref="I242"/>
    <hyperlink r:id="rId234" ref="I243"/>
    <hyperlink r:id="rId235" ref="I244"/>
    <hyperlink r:id="rId236" ref="I245"/>
    <hyperlink r:id="rId237" ref="I246"/>
    <hyperlink r:id="rId238" ref="I247"/>
    <hyperlink r:id="rId239" ref="I248"/>
    <hyperlink r:id="rId240" ref="I249"/>
    <hyperlink r:id="rId241" ref="I250"/>
    <hyperlink r:id="rId242" ref="I251"/>
    <hyperlink r:id="rId243" ref="I252"/>
    <hyperlink r:id="rId244" ref="I253"/>
    <hyperlink r:id="rId245" ref="I254"/>
    <hyperlink r:id="rId246" ref="I255"/>
    <hyperlink r:id="rId247" ref="I256"/>
    <hyperlink r:id="rId248" ref="I257"/>
    <hyperlink r:id="rId249" ref="I258"/>
    <hyperlink r:id="rId250" ref="I259"/>
    <hyperlink r:id="rId251" ref="I260"/>
    <hyperlink r:id="rId252" ref="I261"/>
    <hyperlink r:id="rId253" ref="I262"/>
    <hyperlink r:id="rId254" ref="I263"/>
    <hyperlink r:id="rId255" ref="I264"/>
    <hyperlink r:id="rId256" ref="I265"/>
    <hyperlink r:id="rId257" ref="I266"/>
    <hyperlink r:id="rId258" ref="I267"/>
    <hyperlink r:id="rId259" ref="I268"/>
    <hyperlink r:id="rId260" ref="I269"/>
    <hyperlink r:id="rId261" ref="I270"/>
    <hyperlink r:id="rId262" ref="I271"/>
    <hyperlink r:id="rId263" ref="I272"/>
    <hyperlink r:id="rId264" ref="I273"/>
    <hyperlink r:id="rId265" ref="I274"/>
    <hyperlink r:id="rId266" ref="I275"/>
    <hyperlink r:id="rId267" ref="I276"/>
    <hyperlink r:id="rId268" ref="I277"/>
    <hyperlink r:id="rId269" ref="I278"/>
    <hyperlink r:id="rId270" ref="I279"/>
    <hyperlink r:id="rId271" ref="I280"/>
    <hyperlink r:id="rId272" ref="I281"/>
    <hyperlink r:id="rId273" ref="I282"/>
    <hyperlink r:id="rId274" ref="I283"/>
    <hyperlink r:id="rId275" ref="I284"/>
    <hyperlink r:id="rId276" ref="I285"/>
    <hyperlink r:id="rId277" ref="I286"/>
    <hyperlink r:id="rId278" ref="I287"/>
    <hyperlink r:id="rId279" ref="I288"/>
    <hyperlink r:id="rId280" ref="I289"/>
    <hyperlink r:id="rId281" ref="I290"/>
    <hyperlink r:id="rId282" ref="I291"/>
    <hyperlink r:id="rId283" ref="I292"/>
    <hyperlink r:id="rId284" ref="I293"/>
    <hyperlink r:id="rId285" ref="I294"/>
    <hyperlink r:id="rId286" ref="I295"/>
    <hyperlink r:id="rId287" ref="I296"/>
    <hyperlink r:id="rId288" ref="I297"/>
    <hyperlink r:id="rId289" ref="I298"/>
    <hyperlink r:id="rId290" ref="I299"/>
    <hyperlink r:id="rId291" ref="I300"/>
    <hyperlink r:id="rId292" ref="I301"/>
    <hyperlink r:id="rId293" ref="I302"/>
    <hyperlink r:id="rId294" ref="I303"/>
    <hyperlink r:id="rId295" ref="I304"/>
    <hyperlink r:id="rId296" ref="I305"/>
    <hyperlink r:id="rId297" ref="I306"/>
    <hyperlink r:id="rId298" ref="I307"/>
    <hyperlink r:id="rId299" ref="I308"/>
    <hyperlink r:id="rId300" ref="I309"/>
    <hyperlink r:id="rId301" ref="I310"/>
    <hyperlink r:id="rId302" ref="I311"/>
    <hyperlink r:id="rId303" ref="I312"/>
    <hyperlink r:id="rId304" ref="I313"/>
    <hyperlink r:id="rId305" ref="I314"/>
    <hyperlink r:id="rId306" ref="I315"/>
    <hyperlink r:id="rId307" ref="I316"/>
    <hyperlink r:id="rId308" ref="I317"/>
    <hyperlink r:id="rId309" ref="I318"/>
    <hyperlink r:id="rId310" ref="I319"/>
    <hyperlink r:id="rId311" ref="I320"/>
    <hyperlink r:id="rId312" ref="I321"/>
    <hyperlink r:id="rId313" ref="I322"/>
    <hyperlink r:id="rId314" ref="I323"/>
    <hyperlink r:id="rId315" ref="I324"/>
    <hyperlink r:id="rId316" ref="I325"/>
    <hyperlink r:id="rId317" ref="I326"/>
    <hyperlink r:id="rId318" ref="I327"/>
    <hyperlink r:id="rId319" ref="I328"/>
    <hyperlink r:id="rId320" ref="I329"/>
    <hyperlink r:id="rId321" ref="I330"/>
    <hyperlink r:id="rId322" ref="I331"/>
    <hyperlink r:id="rId323" ref="I332"/>
    <hyperlink r:id="rId324" ref="I333"/>
    <hyperlink r:id="rId325" ref="I334"/>
    <hyperlink r:id="rId326" ref="I335"/>
    <hyperlink r:id="rId327" ref="I336"/>
    <hyperlink r:id="rId328" ref="I337"/>
    <hyperlink r:id="rId329" ref="I338"/>
    <hyperlink r:id="rId330" ref="I339"/>
    <hyperlink r:id="rId331" ref="I340"/>
    <hyperlink r:id="rId332" ref="I341"/>
    <hyperlink r:id="rId333" ref="I342"/>
    <hyperlink r:id="rId334" ref="I343"/>
    <hyperlink r:id="rId335" ref="I344"/>
    <hyperlink r:id="rId336" ref="I345"/>
    <hyperlink r:id="rId337" ref="I346"/>
    <hyperlink r:id="rId338" ref="I347"/>
    <hyperlink r:id="rId339" ref="I348"/>
    <hyperlink r:id="rId340" ref="I349"/>
    <hyperlink r:id="rId341" ref="I350"/>
    <hyperlink r:id="rId342" ref="I351"/>
    <hyperlink r:id="rId343" ref="I352"/>
    <hyperlink r:id="rId344" ref="I353"/>
    <hyperlink r:id="rId345" ref="I354"/>
    <hyperlink r:id="rId346" ref="I355"/>
    <hyperlink r:id="rId347" ref="I356"/>
    <hyperlink r:id="rId348" ref="I357"/>
    <hyperlink r:id="rId349" ref="I358"/>
    <hyperlink r:id="rId350" ref="I359"/>
    <hyperlink r:id="rId351" ref="I360"/>
    <hyperlink r:id="rId352" ref="I361"/>
    <hyperlink r:id="rId353" ref="I362"/>
    <hyperlink r:id="rId354" ref="I363"/>
    <hyperlink r:id="rId355" ref="I364"/>
    <hyperlink r:id="rId356" ref="I365"/>
    <hyperlink r:id="rId357" ref="I366"/>
    <hyperlink r:id="rId358" ref="I367"/>
    <hyperlink r:id="rId359" ref="I368"/>
    <hyperlink r:id="rId360" ref="I369"/>
    <hyperlink r:id="rId361" ref="I370"/>
    <hyperlink r:id="rId362" ref="I371"/>
    <hyperlink r:id="rId363" ref="I372"/>
    <hyperlink r:id="rId364" ref="I373"/>
    <hyperlink r:id="rId365" ref="I374"/>
    <hyperlink r:id="rId366" ref="I375"/>
    <hyperlink r:id="rId367" ref="I376"/>
    <hyperlink r:id="rId368" ref="I377"/>
    <hyperlink r:id="rId369" ref="I378"/>
    <hyperlink r:id="rId370" ref="I379"/>
    <hyperlink r:id="rId371" ref="I380"/>
    <hyperlink r:id="rId372" ref="I381"/>
  </hyperlinks>
  <drawing r:id="rId37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2025-09-30T08:21:05Z</dcterms:created>
  <dc:creator>pere torné</dc:creator>
</cp:coreProperties>
</file>